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timelines/timeline1.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slicers/slicer5.xml" ContentType="application/vnd.ms-excel.slicer+xml"/>
  <Override PartName="/xl/timelines/timeline2.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D:\Completed Assignment and Project\"/>
    </mc:Choice>
  </mc:AlternateContent>
  <xr:revisionPtr revIDLastSave="0" documentId="13_ncr:1_{FA0743B7-0563-4D26-8979-F33A0A5E1CA8}" xr6:coauthVersionLast="47" xr6:coauthVersionMax="47" xr10:uidLastSave="{00000000-0000-0000-0000-000000000000}"/>
  <bookViews>
    <workbookView xWindow="-108" yWindow="-108" windowWidth="23256" windowHeight="12456" activeTab="5" xr2:uid="{00000000-000D-0000-FFFF-FFFF00000000}"/>
  </bookViews>
  <sheets>
    <sheet name="Sheet1" sheetId="12" r:id="rId1"/>
    <sheet name="Sheet2" sheetId="14" r:id="rId2"/>
    <sheet name="Sheet3" sheetId="17" r:id="rId3"/>
    <sheet name="Sheet4" sheetId="18" r:id="rId4"/>
    <sheet name="Sheet5" sheetId="19" r:id="rId5"/>
    <sheet name="Sheet6" sheetId="20" r:id="rId6"/>
    <sheet name="Sheet7" sheetId="21" r:id="rId7"/>
    <sheet name="Sheet8" sheetId="22" r:id="rId8"/>
    <sheet name="Sheet9" sheetId="23" r:id="rId9"/>
    <sheet name="Sheet10" sheetId="24" r:id="rId10"/>
    <sheet name="Sheet11" sheetId="25" r:id="rId11"/>
    <sheet name="Sheet12" sheetId="26" r:id="rId12"/>
    <sheet name="DashBoard" sheetId="16" r:id="rId13"/>
    <sheet name="DataSet" sheetId="11" r:id="rId14"/>
  </sheets>
  <definedNames>
    <definedName name="dataset">DataSet!$A$1:$G$71</definedName>
    <definedName name="NativeTimeline_Admission_Date">#N/A</definedName>
    <definedName name="Slicer_Age">#N/A</definedName>
    <definedName name="Slicer_Gender">#N/A</definedName>
    <definedName name="Slicer_Insurance_Type">#N/A</definedName>
    <definedName name="Slicer_Medical_Condition">#N/A</definedName>
  </definedNames>
  <calcPr calcId="162913"/>
  <pivotCaches>
    <pivotCache cacheId="25"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<sst xmlns="http://schemas.openxmlformats.org/spreadsheetml/2006/main" count="343" uniqueCount="49">
  <si>
    <t>Patient_ID</t>
  </si>
  <si>
    <t>Gender</t>
  </si>
  <si>
    <t>Age</t>
  </si>
  <si>
    <t>Insurance_Type</t>
  </si>
  <si>
    <t>Medical_Condition</t>
  </si>
  <si>
    <t>Treatment_Cost</t>
  </si>
  <si>
    <t>Male</t>
  </si>
  <si>
    <t>Private</t>
  </si>
  <si>
    <t>Hypertension</t>
  </si>
  <si>
    <t>Female</t>
  </si>
  <si>
    <t>Medicare</t>
  </si>
  <si>
    <t>Diabetes</t>
  </si>
  <si>
    <t>Arthritis</t>
  </si>
  <si>
    <t>Heart Disease</t>
  </si>
  <si>
    <t>High Cholesterol</t>
  </si>
  <si>
    <t>Stroke</t>
  </si>
  <si>
    <t>Medicaid</t>
  </si>
  <si>
    <t>Asthma</t>
  </si>
  <si>
    <t>Cancer</t>
  </si>
  <si>
    <t>Obesity</t>
  </si>
  <si>
    <t>Admission_Date</t>
  </si>
  <si>
    <t>Row Labels</t>
  </si>
  <si>
    <t>Grand Total</t>
  </si>
  <si>
    <t>Sum of Treatment_Cost</t>
  </si>
  <si>
    <t>Average of Treatment_Cost</t>
  </si>
  <si>
    <t>Average Treatment Cost by Gender</t>
  </si>
  <si>
    <t>28-37</t>
  </si>
  <si>
    <t>38-47</t>
  </si>
  <si>
    <t>48-57</t>
  </si>
  <si>
    <t>58-67</t>
  </si>
  <si>
    <t>68-77</t>
  </si>
  <si>
    <t>78-87</t>
  </si>
  <si>
    <t>Most Common Medical Conditions</t>
  </si>
  <si>
    <t>Distribution of Patients by Insurance Type and Gender</t>
  </si>
  <si>
    <t>Gender and Insurance type</t>
  </si>
  <si>
    <t>Column Labels</t>
  </si>
  <si>
    <t>Total Treatment Cost by Insurance Type and Medical Condition</t>
  </si>
  <si>
    <t>Average of Age</t>
  </si>
  <si>
    <t>Percentage of Patients with Chronic Conditions</t>
  </si>
  <si>
    <t>Medical Condition</t>
  </si>
  <si>
    <t>Admisison Date</t>
  </si>
  <si>
    <t>2021</t>
  </si>
  <si>
    <t>2022</t>
  </si>
  <si>
    <t>2023</t>
  </si>
  <si>
    <t>2024</t>
  </si>
  <si>
    <t>Age Group</t>
  </si>
  <si>
    <t>Distribution of Patients by Age Group</t>
  </si>
  <si>
    <t>Insurance Type</t>
  </si>
  <si>
    <t>Total Treatment Cost by Insurance Type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</si>
</sst>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0" borderId="0" xfId="0" applyNumberFormat="1"/>
  </cellXfs>
  <cellStyles count="1">
    <cellStyle name="Normal" xfId="0" builtinId="0"/>
  </cellStyles>
  <dxfs count="25">
    <dxf>
      <numFmt numFmtId="169" formatCode="0.0"/>
    </dxf>
    <dxf>
      <numFmt numFmtId="1" formatCode="0"/>
    </dxf>
    <dxf>
      <numFmt numFmtId="2" formatCode="0.00"/>
    </dxf>
    <dxf>
      <numFmt numFmtId="168" formatCode="0.000"/>
    </dxf>
    <dxf>
      <numFmt numFmtId="167" formatCode="0.0000"/>
    </dxf>
    <dxf>
      <numFmt numFmtId="166" formatCode="0.00000"/>
    </dxf>
    <dxf>
      <numFmt numFmtId="169" formatCode="0.0"/>
    </dxf>
    <dxf>
      <numFmt numFmtId="1" formatCode="0"/>
    </dxf>
    <dxf>
      <numFmt numFmtId="2" formatCode="0.00"/>
    </dxf>
    <dxf>
      <numFmt numFmtId="168" formatCode="0.000"/>
    </dxf>
    <dxf>
      <numFmt numFmtId="167" formatCode="0.0000"/>
    </dxf>
    <dxf>
      <numFmt numFmtId="166" formatCode="0.00000"/>
    </dxf>
    <dxf>
      <numFmt numFmtId="164" formatCode="0.000000"/>
    </dxf>
    <dxf>
      <numFmt numFmtId="169" formatCode="0.0"/>
    </dxf>
    <dxf>
      <numFmt numFmtId="1" formatCode="0"/>
    </dxf>
    <dxf>
      <numFmt numFmtId="2" formatCode="0.00"/>
    </dxf>
    <dxf>
      <numFmt numFmtId="168" formatCode="0.000"/>
    </dxf>
    <dxf>
      <numFmt numFmtId="167" formatCode="0.0000"/>
    </dxf>
    <dxf>
      <numFmt numFmtId="166" formatCode="0.00000"/>
    </dxf>
    <dxf>
      <numFmt numFmtId="164" formatCode="0.00000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[Project02.P1.Healthcare.Vishal Adlakha.XLSX]Sheet1!PivotTable1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Treatment Cost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5.5555555555555558E-3"/>
              <c:y val="-4.2432814710042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5.0925337632079971E-17"/>
              <c:y val="-8.0150872230080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3-C1A6-4C59-BA48-69BB009FEDF4}"/>
              </c:ext>
            </c:extLst>
          </c:dPt>
          <c:dPt>
            <c:idx val="1"/>
            <c:invertIfNegative val="0"/>
            <c:bubble3D val="0"/>
            <c:extLst>
              <c:ext xmlns:c16="http://schemas.microsoft.com/office/drawing/2014/chart" uri="{C3380CC4-5D6E-409C-BE32-E72D297353CC}">
                <c16:uniqueId val="{00000002-C1A6-4C59-BA48-69BB009FEDF4}"/>
              </c:ext>
            </c:extLst>
          </c:dPt>
          <c:dLbls>
            <c:dLbl>
              <c:idx val="0"/>
              <c:layout>
                <c:manualLayout>
                  <c:x val="-5.0925337632079971E-17"/>
                  <c:y val="-8.01508722300801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A6-4C59-BA48-69BB009FEDF4}"/>
                </c:ext>
              </c:extLst>
            </c:dLbl>
            <c:dLbl>
              <c:idx val="1"/>
              <c:layout>
                <c:manualLayout>
                  <c:x val="5.5555555555555558E-3"/>
                  <c:y val="-4.24328147100424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1A6-4C59-BA48-69BB009FED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Sheet1!$A$4:$A$5</c:f>
              <c:strCache>
                <c:ptCount val="2"/>
                <c:pt idx="0">
                  <c:v>Female</c:v>
                </c:pt>
                <c:pt idx="1">
                  <c:v>Male</c:v>
                </c:pt>
              </c:strCache>
            </c:strRef>
          </c:cat>
          <c:val>
            <c:numRef>
              <c:f>Sheet1!$B$4:$B$5</c:f>
              <c:numCache>
                <c:formatCode>0</c:formatCode>
                <c:ptCount val="2"/>
                <c:pt idx="0">
                  <c:v>977.14285714285711</c:v>
                </c:pt>
                <c:pt idx="1">
                  <c:v>1291.4285714285713</c:v>
                </c:pt>
              </c:numCache>
            </c:numRef>
          </c:val>
          <c:extLst>
            <c:ext xmlns:c16="http://schemas.microsoft.com/office/drawing/2014/chart" uri="{C3380CC4-5D6E-409C-BE32-E72D297353CC}">
              <c16:uniqueId val="{00000000-C1A6-4C59-BA48-69BB009FEDF4}"/>
            </c:ext>
          </c:extLst>
        </c:ser>
        <c:dLbls>
          <c:showLegendKey val="0"/>
          <c:showVal val="1"/>
          <c:showCatName val="0"/>
          <c:showSerName val="0"/>
          <c:showPercent val="0"/>
          <c:showBubbleSize val="0"/>
        </c:dLbls>
        <c:gapWidth val="150"/>
        <c:shape val="box"/>
        <c:axId val="1685335232"/>
        <c:axId val="1685360192"/>
        <c:axId val="0"/>
      </c:bar3DChart>
      <c:catAx>
        <c:axId val="1685335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360192"/>
        <c:crosses val="autoZero"/>
        <c:auto val="1"/>
        <c:lblAlgn val="ctr"/>
        <c:lblOffset val="100"/>
        <c:noMultiLvlLbl val="0"/>
      </c:catAx>
      <c:valAx>
        <c:axId val="16853601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33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[Project02.P1.Healthcare.Vishal Adlakha.XLSX]Sheet2!PivotTable2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Patients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1"/>
            </a:solidFill>
            <a:ln>
              <a:noFill/>
            </a:ln>
            <a:effectLst/>
            <a:sp3d/>
          </c:spPr>
          <c:invertIfNegative val="0"/>
          <c:cat>
            <c:strRef>
              <c:f>Sheet2!$A$4:$A$10</c:f>
              <c:strCache>
                <c:ptCount val="6"/>
                <c:pt idx="0">
                  <c:v>28-37</c:v>
                </c:pt>
                <c:pt idx="1">
                  <c:v>38-47</c:v>
                </c:pt>
                <c:pt idx="2">
                  <c:v>48-57</c:v>
                </c:pt>
                <c:pt idx="3">
                  <c:v>58-67</c:v>
                </c:pt>
                <c:pt idx="4">
                  <c:v>68-77</c:v>
                </c:pt>
                <c:pt idx="5">
                  <c:v>78-87</c:v>
                </c:pt>
              </c:strCache>
            </c:strRef>
          </c:cat>
          <c:val>
            <c:numRef>
              <c:f>Sheet2!$B$4:$B$10</c:f>
              <c:numCache>
                <c:formatCode>General</c:formatCode>
                <c:ptCount val="6"/>
                <c:pt idx="0">
                  <c:v>13</c:v>
                </c:pt>
                <c:pt idx="1">
                  <c:v>13</c:v>
                </c:pt>
                <c:pt idx="2">
                  <c:v>16</c:v>
                </c:pt>
                <c:pt idx="3">
                  <c:v>16</c:v>
                </c:pt>
                <c:pt idx="4">
                  <c:v>11</c:v>
                </c:pt>
                <c:pt idx="5">
                  <c:v>1</c:v>
                </c:pt>
              </c:numCache>
            </c:numRef>
          </c:val>
          <c:extLst>
            <c:ext xmlns:c16="http://schemas.microsoft.com/office/drawing/2014/chart" uri="{C3380CC4-5D6E-409C-BE32-E72D297353CC}">
              <c16:uniqueId val="{00000000-8294-427C-A2FE-7A4579330FDF}"/>
            </c:ext>
          </c:extLst>
        </c:ser>
        <c:dLbls>
          <c:showLegendKey val="0"/>
          <c:showVal val="0"/>
          <c:showCatName val="0"/>
          <c:showSerName val="0"/>
          <c:showPercent val="0"/>
          <c:showBubbleSize val="0"/>
        </c:dLbls>
        <c:gapWidth val="150"/>
        <c:shape val="box"/>
        <c:axId val="1685334752"/>
        <c:axId val="1685355872"/>
        <c:axId val="0"/>
      </c:bar3DChart>
      <c:catAx>
        <c:axId val="1685334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355872"/>
        <c:crosses val="autoZero"/>
        <c:auto val="1"/>
        <c:lblAlgn val="ctr"/>
        <c:lblOffset val="100"/>
        <c:noMultiLvlLbl val="0"/>
      </c:catAx>
      <c:valAx>
        <c:axId val="1685355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33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[Project02.P1.Healthcare.Vishal Adlakha.XLSX]Sheet3!PivotTable4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Treatment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Sheet3!$A$4:$A$7</c:f>
              <c:strCache>
                <c:ptCount val="3"/>
                <c:pt idx="0">
                  <c:v>Medicaid</c:v>
                </c:pt>
                <c:pt idx="1">
                  <c:v>Medicare</c:v>
                </c:pt>
                <c:pt idx="2">
                  <c:v>Private</c:v>
                </c:pt>
              </c:strCache>
            </c:strRef>
          </c:cat>
          <c:val>
            <c:numRef>
              <c:f>Sheet3!$B$4:$B$7</c:f>
              <c:numCache>
                <c:formatCode>0</c:formatCode>
                <c:ptCount val="3"/>
                <c:pt idx="0">
                  <c:v>488.88888888888891</c:v>
                </c:pt>
                <c:pt idx="1">
                  <c:v>1096.6666666666667</c:v>
                </c:pt>
                <c:pt idx="2">
                  <c:v>1358.0645161290322</c:v>
                </c:pt>
              </c:numCache>
            </c:numRef>
          </c:val>
          <c:extLst>
            <c:ext xmlns:c16="http://schemas.microsoft.com/office/drawing/2014/chart" uri="{C3380CC4-5D6E-409C-BE32-E72D297353CC}">
              <c16:uniqueId val="{00000000-7E35-4C90-9F16-975F1787ED53}"/>
            </c:ext>
          </c:extLst>
        </c:ser>
        <c:dLbls>
          <c:dLblPos val="ctr"/>
          <c:showLegendKey val="0"/>
          <c:showVal val="1"/>
          <c:showCatName val="0"/>
          <c:showSerName val="0"/>
          <c:showPercent val="0"/>
          <c:showBubbleSize val="0"/>
        </c:dLbls>
        <c:gapWidth val="150"/>
        <c:overlap val="100"/>
        <c:axId val="1807571408"/>
        <c:axId val="1778540096"/>
      </c:barChart>
      <c:catAx>
        <c:axId val="1807571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540096"/>
        <c:crosses val="autoZero"/>
        <c:auto val="1"/>
        <c:lblAlgn val="ctr"/>
        <c:lblOffset val="100"/>
        <c:noMultiLvlLbl val="0"/>
      </c:catAx>
      <c:valAx>
        <c:axId val="177854009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571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[Project02.P1.Healthcare.Vishal Adlakha.XLSX]Sheet4!PivotTable5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Common Medical Condition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Total</c:v>
                </c:pt>
              </c:strCache>
            </c:strRef>
          </c:tx>
          <c:spPr>
            <a:solidFill>
              <a:schemeClr val="accent1"/>
            </a:solidFill>
            <a:ln>
              <a:noFill/>
            </a:ln>
            <a:effectLst/>
            <a:sp3d/>
          </c:spPr>
          <c:invertIfNegative val="0"/>
          <c:cat>
            <c:strRef>
              <c:f>Sheet4!$A$4:$A$13</c:f>
              <c:strCache>
                <c:ptCount val="9"/>
                <c:pt idx="0">
                  <c:v>High Cholesterol</c:v>
                </c:pt>
                <c:pt idx="1">
                  <c:v>Arthritis</c:v>
                </c:pt>
                <c:pt idx="2">
                  <c:v>Diabetes</c:v>
                </c:pt>
                <c:pt idx="3">
                  <c:v>Heart Disease</c:v>
                </c:pt>
                <c:pt idx="4">
                  <c:v>Obesity</c:v>
                </c:pt>
                <c:pt idx="5">
                  <c:v>Cancer</c:v>
                </c:pt>
                <c:pt idx="6">
                  <c:v>Stroke</c:v>
                </c:pt>
                <c:pt idx="7">
                  <c:v>Asthma</c:v>
                </c:pt>
                <c:pt idx="8">
                  <c:v>Hypertension</c:v>
                </c:pt>
              </c:strCache>
            </c:strRef>
          </c:cat>
          <c:val>
            <c:numRef>
              <c:f>Sheet4!$B$4:$B$13</c:f>
              <c:numCache>
                <c:formatCode>General</c:formatCode>
                <c:ptCount val="9"/>
                <c:pt idx="0">
                  <c:v>9</c:v>
                </c:pt>
                <c:pt idx="1">
                  <c:v>9</c:v>
                </c:pt>
                <c:pt idx="2">
                  <c:v>9</c:v>
                </c:pt>
                <c:pt idx="3">
                  <c:v>9</c:v>
                </c:pt>
                <c:pt idx="4">
                  <c:v>8</c:v>
                </c:pt>
                <c:pt idx="5">
                  <c:v>8</c:v>
                </c:pt>
                <c:pt idx="6">
                  <c:v>8</c:v>
                </c:pt>
                <c:pt idx="7">
                  <c:v>5</c:v>
                </c:pt>
                <c:pt idx="8">
                  <c:v>5</c:v>
                </c:pt>
              </c:numCache>
            </c:numRef>
          </c:val>
          <c:extLst>
            <c:ext xmlns:c16="http://schemas.microsoft.com/office/drawing/2014/chart" uri="{C3380CC4-5D6E-409C-BE32-E72D297353CC}">
              <c16:uniqueId val="{00000000-CEE6-40A7-9F46-7C9360774EC6}"/>
            </c:ext>
          </c:extLst>
        </c:ser>
        <c:dLbls>
          <c:showLegendKey val="0"/>
          <c:showVal val="0"/>
          <c:showCatName val="0"/>
          <c:showSerName val="0"/>
          <c:showPercent val="0"/>
          <c:showBubbleSize val="0"/>
        </c:dLbls>
        <c:gapWidth val="150"/>
        <c:shape val="box"/>
        <c:axId val="1781042608"/>
        <c:axId val="1781042128"/>
        <c:axId val="0"/>
      </c:bar3DChart>
      <c:catAx>
        <c:axId val="1781042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042128"/>
        <c:crosses val="autoZero"/>
        <c:auto val="1"/>
        <c:lblAlgn val="ctr"/>
        <c:lblOffset val="100"/>
        <c:noMultiLvlLbl val="0"/>
      </c:catAx>
      <c:valAx>
        <c:axId val="1781042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042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[Project02.P1.Healthcare.Vishal Adlakha.XLSX]Sheet5!PivotTable6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solidFill>
              <a:schemeClr val="accent1"/>
            </a:solidFill>
            <a:ln>
              <a:noFill/>
            </a:ln>
            <a:effectLst/>
            <a:sp3d/>
          </c:spPr>
          <c:invertIfNegative val="0"/>
          <c:cat>
            <c:strRef>
              <c:f>Sheet5!$A$4:$A$13</c:f>
              <c:strCache>
                <c:ptCount val="9"/>
                <c:pt idx="0">
                  <c:v>Arthritis</c:v>
                </c:pt>
                <c:pt idx="1">
                  <c:v>Asthma</c:v>
                </c:pt>
                <c:pt idx="2">
                  <c:v>Cancer</c:v>
                </c:pt>
                <c:pt idx="3">
                  <c:v>Diabetes</c:v>
                </c:pt>
                <c:pt idx="4">
                  <c:v>Heart Disease</c:v>
                </c:pt>
                <c:pt idx="5">
                  <c:v>High Cholesterol</c:v>
                </c:pt>
                <c:pt idx="6">
                  <c:v>Hypertension</c:v>
                </c:pt>
                <c:pt idx="7">
                  <c:v>Obesity</c:v>
                </c:pt>
                <c:pt idx="8">
                  <c:v>Stroke</c:v>
                </c:pt>
              </c:strCache>
            </c:strRef>
          </c:cat>
          <c:val>
            <c:numRef>
              <c:f>Sheet5!$B$4:$B$13</c:f>
              <c:numCache>
                <c:formatCode>General</c:formatCode>
                <c:ptCount val="9"/>
                <c:pt idx="0">
                  <c:v>9000</c:v>
                </c:pt>
                <c:pt idx="1">
                  <c:v>3000</c:v>
                </c:pt>
                <c:pt idx="2">
                  <c:v>20000</c:v>
                </c:pt>
                <c:pt idx="3">
                  <c:v>6300</c:v>
                </c:pt>
                <c:pt idx="4">
                  <c:v>13500</c:v>
                </c:pt>
                <c:pt idx="5">
                  <c:v>2700</c:v>
                </c:pt>
                <c:pt idx="6">
                  <c:v>2500</c:v>
                </c:pt>
                <c:pt idx="7">
                  <c:v>6400</c:v>
                </c:pt>
                <c:pt idx="8">
                  <c:v>16000</c:v>
                </c:pt>
              </c:numCache>
            </c:numRef>
          </c:val>
          <c:extLst>
            <c:ext xmlns:c16="http://schemas.microsoft.com/office/drawing/2014/chart" uri="{C3380CC4-5D6E-409C-BE32-E72D297353CC}">
              <c16:uniqueId val="{00000000-F13E-4E3D-8E11-2895E7F5D8C2}"/>
            </c:ext>
          </c:extLst>
        </c:ser>
        <c:dLbls>
          <c:showLegendKey val="0"/>
          <c:showVal val="0"/>
          <c:showCatName val="0"/>
          <c:showSerName val="0"/>
          <c:showPercent val="0"/>
          <c:showBubbleSize val="0"/>
        </c:dLbls>
        <c:gapWidth val="150"/>
        <c:shape val="box"/>
        <c:axId val="1782726800"/>
        <c:axId val="1791419280"/>
        <c:axId val="0"/>
      </c:bar3DChart>
      <c:catAx>
        <c:axId val="1782726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419280"/>
        <c:crosses val="autoZero"/>
        <c:auto val="1"/>
        <c:lblAlgn val="ctr"/>
        <c:lblOffset val="100"/>
        <c:noMultiLvlLbl val="0"/>
      </c:catAx>
      <c:valAx>
        <c:axId val="1791419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726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[Project02.P1.Healthcare.Vishal Adlakha.XLSX]Sheet6!PivotTable7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Treatment Cost by Age Group and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Sheet6!$B$3:$B$4</c:f>
              <c:strCache>
                <c:ptCount val="1"/>
                <c:pt idx="0">
                  <c:v>Female</c:v>
                </c:pt>
              </c:strCache>
            </c:strRef>
          </c:tx>
          <c:spPr>
            <a:solidFill>
              <a:schemeClr val="accent1"/>
            </a:solidFill>
            <a:ln>
              <a:noFill/>
            </a:ln>
            <a:effectLst/>
            <a:sp3d/>
          </c:spPr>
          <c:invertIfNegative val="0"/>
          <c:cat>
            <c:strRef>
              <c:f>Sheet6!$A$5:$A$11</c:f>
              <c:strCache>
                <c:ptCount val="6"/>
                <c:pt idx="0">
                  <c:v>28-37</c:v>
                </c:pt>
                <c:pt idx="1">
                  <c:v>38-47</c:v>
                </c:pt>
                <c:pt idx="2">
                  <c:v>48-57</c:v>
                </c:pt>
                <c:pt idx="3">
                  <c:v>58-67</c:v>
                </c:pt>
                <c:pt idx="4">
                  <c:v>68-77</c:v>
                </c:pt>
                <c:pt idx="5">
                  <c:v>78-87</c:v>
                </c:pt>
              </c:strCache>
            </c:strRef>
          </c:cat>
          <c:val>
            <c:numRef>
              <c:f>Sheet6!$B$5:$B$11</c:f>
              <c:numCache>
                <c:formatCode>General</c:formatCode>
                <c:ptCount val="6"/>
                <c:pt idx="0">
                  <c:v>675</c:v>
                </c:pt>
                <c:pt idx="1">
                  <c:v>700</c:v>
                </c:pt>
                <c:pt idx="2">
                  <c:v>914.28571428571433</c:v>
                </c:pt>
                <c:pt idx="3">
                  <c:v>1742.8571428571429</c:v>
                </c:pt>
                <c:pt idx="4">
                  <c:v>1066.6666666666667</c:v>
                </c:pt>
              </c:numCache>
            </c:numRef>
          </c:val>
          <c:extLst>
            <c:ext xmlns:c16="http://schemas.microsoft.com/office/drawing/2014/chart" uri="{C3380CC4-5D6E-409C-BE32-E72D297353CC}">
              <c16:uniqueId val="{00000000-E156-437B-8257-D6B6FDCE2634}"/>
            </c:ext>
          </c:extLst>
        </c:ser>
        <c:ser>
          <c:idx val="1"/>
          <c:order val="1"/>
          <c:tx>
            <c:strRef>
              <c:f>Sheet6!$C$3:$C$4</c:f>
              <c:strCache>
                <c:ptCount val="1"/>
                <c:pt idx="0">
                  <c:v>Male</c:v>
                </c:pt>
              </c:strCache>
            </c:strRef>
          </c:tx>
          <c:spPr>
            <a:solidFill>
              <a:schemeClr val="accent2"/>
            </a:solidFill>
            <a:ln>
              <a:noFill/>
            </a:ln>
            <a:effectLst/>
            <a:sp3d/>
          </c:spPr>
          <c:invertIfNegative val="0"/>
          <c:cat>
            <c:strRef>
              <c:f>Sheet6!$A$5:$A$11</c:f>
              <c:strCache>
                <c:ptCount val="6"/>
                <c:pt idx="0">
                  <c:v>28-37</c:v>
                </c:pt>
                <c:pt idx="1">
                  <c:v>38-47</c:v>
                </c:pt>
                <c:pt idx="2">
                  <c:v>48-57</c:v>
                </c:pt>
                <c:pt idx="3">
                  <c:v>58-67</c:v>
                </c:pt>
                <c:pt idx="4">
                  <c:v>68-77</c:v>
                </c:pt>
                <c:pt idx="5">
                  <c:v>78-87</c:v>
                </c:pt>
              </c:strCache>
            </c:strRef>
          </c:cat>
          <c:val>
            <c:numRef>
              <c:f>Sheet6!$C$5:$C$11</c:f>
              <c:numCache>
                <c:formatCode>General</c:formatCode>
                <c:ptCount val="6"/>
                <c:pt idx="0">
                  <c:v>980</c:v>
                </c:pt>
                <c:pt idx="1">
                  <c:v>666.66666666666663</c:v>
                </c:pt>
                <c:pt idx="2">
                  <c:v>855.55555555555554</c:v>
                </c:pt>
                <c:pt idx="3">
                  <c:v>1733.3333333333333</c:v>
                </c:pt>
                <c:pt idx="4">
                  <c:v>1775</c:v>
                </c:pt>
                <c:pt idx="5">
                  <c:v>800</c:v>
                </c:pt>
              </c:numCache>
            </c:numRef>
          </c:val>
          <c:extLst>
            <c:ext xmlns:c16="http://schemas.microsoft.com/office/drawing/2014/chart" uri="{C3380CC4-5D6E-409C-BE32-E72D297353CC}">
              <c16:uniqueId val="{00000002-E156-437B-8257-D6B6FDCE2634}"/>
            </c:ext>
          </c:extLst>
        </c:ser>
        <c:dLbls>
          <c:showLegendKey val="0"/>
          <c:showVal val="0"/>
          <c:showCatName val="0"/>
          <c:showSerName val="0"/>
          <c:showPercent val="0"/>
          <c:showBubbleSize val="0"/>
        </c:dLbls>
        <c:gapWidth val="150"/>
        <c:shape val="box"/>
        <c:axId val="1818013072"/>
        <c:axId val="1818010192"/>
        <c:axId val="0"/>
      </c:bar3DChart>
      <c:catAx>
        <c:axId val="1818013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010192"/>
        <c:crosses val="autoZero"/>
        <c:auto val="1"/>
        <c:lblAlgn val="ctr"/>
        <c:lblOffset val="100"/>
        <c:noMultiLvlLbl val="0"/>
      </c:catAx>
      <c:valAx>
        <c:axId val="1818010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01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[Project02.P1.Healthcare.Vishal Adlakha.XLSX]Sheet7!PivotTable8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Distribution of Patients by Insurance Type and Gender</a:t>
            </a:r>
            <a:endParaRPr lang="en-US"/>
          </a:p>
        </c:rich>
      </c:tx>
      <c:layout>
        <c:manualLayout>
          <c:xMode val="edge"/>
          <c:yMode val="edge"/>
          <c:x val="0.13774300087489064"/>
          <c:y val="6.9444444444444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Female</c:v>
                </c:pt>
              </c:strCache>
            </c:strRef>
          </c:tx>
          <c:spPr>
            <a:solidFill>
              <a:schemeClr val="accent1"/>
            </a:solidFill>
            <a:ln>
              <a:noFill/>
            </a:ln>
            <a:effectLst/>
          </c:spPr>
          <c:invertIfNegative val="0"/>
          <c:cat>
            <c:strRef>
              <c:f>Sheet7!$A$5:$A$8</c:f>
              <c:strCache>
                <c:ptCount val="3"/>
                <c:pt idx="0">
                  <c:v>Medicaid</c:v>
                </c:pt>
                <c:pt idx="1">
                  <c:v>Medicare</c:v>
                </c:pt>
                <c:pt idx="2">
                  <c:v>Private</c:v>
                </c:pt>
              </c:strCache>
            </c:strRef>
          </c:cat>
          <c:val>
            <c:numRef>
              <c:f>Sheet7!$B$5:$B$8</c:f>
              <c:numCache>
                <c:formatCode>General</c:formatCode>
                <c:ptCount val="3"/>
                <c:pt idx="0">
                  <c:v>266</c:v>
                </c:pt>
                <c:pt idx="1">
                  <c:v>711</c:v>
                </c:pt>
                <c:pt idx="2">
                  <c:v>249</c:v>
                </c:pt>
              </c:numCache>
            </c:numRef>
          </c:val>
          <c:extLst>
            <c:ext xmlns:c16="http://schemas.microsoft.com/office/drawing/2014/chart" uri="{C3380CC4-5D6E-409C-BE32-E72D297353CC}">
              <c16:uniqueId val="{00000000-D5C4-44B6-A212-218A7AEC7198}"/>
            </c:ext>
          </c:extLst>
        </c:ser>
        <c:ser>
          <c:idx val="1"/>
          <c:order val="1"/>
          <c:tx>
            <c:strRef>
              <c:f>Sheet7!$C$3:$C$4</c:f>
              <c:strCache>
                <c:ptCount val="1"/>
                <c:pt idx="0">
                  <c:v>Male</c:v>
                </c:pt>
              </c:strCache>
            </c:strRef>
          </c:tx>
          <c:spPr>
            <a:solidFill>
              <a:schemeClr val="accent2"/>
            </a:solidFill>
            <a:ln>
              <a:noFill/>
            </a:ln>
            <a:effectLst/>
          </c:spPr>
          <c:invertIfNegative val="0"/>
          <c:cat>
            <c:strRef>
              <c:f>Sheet7!$A$5:$A$8</c:f>
              <c:strCache>
                <c:ptCount val="3"/>
                <c:pt idx="0">
                  <c:v>Medicaid</c:v>
                </c:pt>
                <c:pt idx="1">
                  <c:v>Medicare</c:v>
                </c:pt>
                <c:pt idx="2">
                  <c:v>Private</c:v>
                </c:pt>
              </c:strCache>
            </c:strRef>
          </c:cat>
          <c:val>
            <c:numRef>
              <c:f>Sheet7!$C$5:$C$8</c:f>
              <c:numCache>
                <c:formatCode>General</c:formatCode>
                <c:ptCount val="3"/>
                <c:pt idx="0">
                  <c:v>68</c:v>
                </c:pt>
                <c:pt idx="1">
                  <c:v>356</c:v>
                </c:pt>
                <c:pt idx="2">
                  <c:v>835</c:v>
                </c:pt>
              </c:numCache>
            </c:numRef>
          </c:val>
          <c:extLst>
            <c:ext xmlns:c16="http://schemas.microsoft.com/office/drawing/2014/chart" uri="{C3380CC4-5D6E-409C-BE32-E72D297353CC}">
              <c16:uniqueId val="{00000002-D5C4-44B6-A212-218A7AEC7198}"/>
            </c:ext>
          </c:extLst>
        </c:ser>
        <c:dLbls>
          <c:showLegendKey val="0"/>
          <c:showVal val="0"/>
          <c:showCatName val="0"/>
          <c:showSerName val="0"/>
          <c:showPercent val="0"/>
          <c:showBubbleSize val="0"/>
        </c:dLbls>
        <c:gapWidth val="219"/>
        <c:overlap val="-27"/>
        <c:axId val="1818012592"/>
        <c:axId val="1775519616"/>
      </c:barChart>
      <c:catAx>
        <c:axId val="181801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519616"/>
        <c:crosses val="autoZero"/>
        <c:auto val="1"/>
        <c:lblAlgn val="ctr"/>
        <c:lblOffset val="100"/>
        <c:noMultiLvlLbl val="0"/>
      </c:catAx>
      <c:valAx>
        <c:axId val="1775519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01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[Project02.P1.Healthcare.Vishal Adlakha.XLSX]Sheet8!PivotTable9</c:name>
    <c:fmtId val="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Sheet8!$B$3:$B$4</c:f>
              <c:strCache>
                <c:ptCount val="1"/>
                <c:pt idx="0">
                  <c:v>Medicaid</c:v>
                </c:pt>
              </c:strCache>
            </c:strRef>
          </c:tx>
          <c:spPr>
            <a:solidFill>
              <a:schemeClr val="accent1"/>
            </a:solidFill>
            <a:ln>
              <a:noFill/>
            </a:ln>
            <a:effectLst/>
            <a:sp3d/>
          </c:spPr>
          <c:invertIfNegative val="0"/>
          <c:cat>
            <c:strRef>
              <c:f>Sheet8!$A$5:$A$14</c:f>
              <c:strCache>
                <c:ptCount val="9"/>
                <c:pt idx="0">
                  <c:v>Arthritis</c:v>
                </c:pt>
                <c:pt idx="1">
                  <c:v>Asthma</c:v>
                </c:pt>
                <c:pt idx="2">
                  <c:v>Cancer</c:v>
                </c:pt>
                <c:pt idx="3">
                  <c:v>Diabetes</c:v>
                </c:pt>
                <c:pt idx="4">
                  <c:v>Heart Disease</c:v>
                </c:pt>
                <c:pt idx="5">
                  <c:v>High Cholesterol</c:v>
                </c:pt>
                <c:pt idx="6">
                  <c:v>Hypertension</c:v>
                </c:pt>
                <c:pt idx="7">
                  <c:v>Obesity</c:v>
                </c:pt>
                <c:pt idx="8">
                  <c:v>Stroke</c:v>
                </c:pt>
              </c:strCache>
            </c:strRef>
          </c:cat>
          <c:val>
            <c:numRef>
              <c:f>Sheet8!$B$5:$B$14</c:f>
              <c:numCache>
                <c:formatCode>General</c:formatCode>
                <c:ptCount val="9"/>
                <c:pt idx="1">
                  <c:v>2400</c:v>
                </c:pt>
                <c:pt idx="5">
                  <c:v>1200</c:v>
                </c:pt>
                <c:pt idx="7">
                  <c:v>800</c:v>
                </c:pt>
              </c:numCache>
            </c:numRef>
          </c:val>
          <c:extLst>
            <c:ext xmlns:c16="http://schemas.microsoft.com/office/drawing/2014/chart" uri="{C3380CC4-5D6E-409C-BE32-E72D297353CC}">
              <c16:uniqueId val="{00000000-B0B9-4A46-A9D4-D5729B2D04FC}"/>
            </c:ext>
          </c:extLst>
        </c:ser>
        <c:ser>
          <c:idx val="1"/>
          <c:order val="1"/>
          <c:tx>
            <c:strRef>
              <c:f>Sheet8!$C$3:$C$4</c:f>
              <c:strCache>
                <c:ptCount val="1"/>
                <c:pt idx="0">
                  <c:v>Medicare</c:v>
                </c:pt>
              </c:strCache>
            </c:strRef>
          </c:tx>
          <c:spPr>
            <a:solidFill>
              <a:schemeClr val="accent2"/>
            </a:solidFill>
            <a:ln>
              <a:noFill/>
            </a:ln>
            <a:effectLst/>
            <a:sp3d/>
          </c:spPr>
          <c:invertIfNegative val="0"/>
          <c:cat>
            <c:strRef>
              <c:f>Sheet8!$A$5:$A$14</c:f>
              <c:strCache>
                <c:ptCount val="9"/>
                <c:pt idx="0">
                  <c:v>Arthritis</c:v>
                </c:pt>
                <c:pt idx="1">
                  <c:v>Asthma</c:v>
                </c:pt>
                <c:pt idx="2">
                  <c:v>Cancer</c:v>
                </c:pt>
                <c:pt idx="3">
                  <c:v>Diabetes</c:v>
                </c:pt>
                <c:pt idx="4">
                  <c:v>Heart Disease</c:v>
                </c:pt>
                <c:pt idx="5">
                  <c:v>High Cholesterol</c:v>
                </c:pt>
                <c:pt idx="6">
                  <c:v>Hypertension</c:v>
                </c:pt>
                <c:pt idx="7">
                  <c:v>Obesity</c:v>
                </c:pt>
                <c:pt idx="8">
                  <c:v>Stroke</c:v>
                </c:pt>
              </c:strCache>
            </c:strRef>
          </c:cat>
          <c:val>
            <c:numRef>
              <c:f>Sheet8!$C$5:$C$14</c:f>
              <c:numCache>
                <c:formatCode>General</c:formatCode>
                <c:ptCount val="9"/>
                <c:pt idx="0">
                  <c:v>8000</c:v>
                </c:pt>
                <c:pt idx="2">
                  <c:v>5000</c:v>
                </c:pt>
                <c:pt idx="3">
                  <c:v>3500</c:v>
                </c:pt>
                <c:pt idx="4">
                  <c:v>1500</c:v>
                </c:pt>
                <c:pt idx="5">
                  <c:v>300</c:v>
                </c:pt>
                <c:pt idx="6">
                  <c:v>1000</c:v>
                </c:pt>
                <c:pt idx="7">
                  <c:v>5600</c:v>
                </c:pt>
                <c:pt idx="8">
                  <c:v>8000</c:v>
                </c:pt>
              </c:numCache>
            </c:numRef>
          </c:val>
          <c:extLst>
            <c:ext xmlns:c16="http://schemas.microsoft.com/office/drawing/2014/chart" uri="{C3380CC4-5D6E-409C-BE32-E72D297353CC}">
              <c16:uniqueId val="{0000000C-B0B9-4A46-A9D4-D5729B2D04FC}"/>
            </c:ext>
          </c:extLst>
        </c:ser>
        <c:ser>
          <c:idx val="2"/>
          <c:order val="2"/>
          <c:tx>
            <c:strRef>
              <c:f>Sheet8!$D$3:$D$4</c:f>
              <c:strCache>
                <c:ptCount val="1"/>
                <c:pt idx="0">
                  <c:v>Private</c:v>
                </c:pt>
              </c:strCache>
            </c:strRef>
          </c:tx>
          <c:spPr>
            <a:solidFill>
              <a:schemeClr val="accent3"/>
            </a:solidFill>
            <a:ln>
              <a:noFill/>
            </a:ln>
            <a:effectLst/>
            <a:sp3d/>
          </c:spPr>
          <c:invertIfNegative val="0"/>
          <c:cat>
            <c:strRef>
              <c:f>Sheet8!$A$5:$A$14</c:f>
              <c:strCache>
                <c:ptCount val="9"/>
                <c:pt idx="0">
                  <c:v>Arthritis</c:v>
                </c:pt>
                <c:pt idx="1">
                  <c:v>Asthma</c:v>
                </c:pt>
                <c:pt idx="2">
                  <c:v>Cancer</c:v>
                </c:pt>
                <c:pt idx="3">
                  <c:v>Diabetes</c:v>
                </c:pt>
                <c:pt idx="4">
                  <c:v>Heart Disease</c:v>
                </c:pt>
                <c:pt idx="5">
                  <c:v>High Cholesterol</c:v>
                </c:pt>
                <c:pt idx="6">
                  <c:v>Hypertension</c:v>
                </c:pt>
                <c:pt idx="7">
                  <c:v>Obesity</c:v>
                </c:pt>
                <c:pt idx="8">
                  <c:v>Stroke</c:v>
                </c:pt>
              </c:strCache>
            </c:strRef>
          </c:cat>
          <c:val>
            <c:numRef>
              <c:f>Sheet8!$D$5:$D$14</c:f>
              <c:numCache>
                <c:formatCode>General</c:formatCode>
                <c:ptCount val="9"/>
                <c:pt idx="0">
                  <c:v>1000</c:v>
                </c:pt>
                <c:pt idx="1">
                  <c:v>600</c:v>
                </c:pt>
                <c:pt idx="2">
                  <c:v>15000</c:v>
                </c:pt>
                <c:pt idx="3">
                  <c:v>2800</c:v>
                </c:pt>
                <c:pt idx="4">
                  <c:v>12000</c:v>
                </c:pt>
                <c:pt idx="5">
                  <c:v>1200</c:v>
                </c:pt>
                <c:pt idx="6">
                  <c:v>1500</c:v>
                </c:pt>
                <c:pt idx="8">
                  <c:v>8000</c:v>
                </c:pt>
              </c:numCache>
            </c:numRef>
          </c:val>
          <c:extLst>
            <c:ext xmlns:c16="http://schemas.microsoft.com/office/drawing/2014/chart" uri="{C3380CC4-5D6E-409C-BE32-E72D297353CC}">
              <c16:uniqueId val="{0000000F-B0B9-4A46-A9D4-D5729B2D04FC}"/>
            </c:ext>
          </c:extLst>
        </c:ser>
        <c:dLbls>
          <c:showLegendKey val="0"/>
          <c:showVal val="0"/>
          <c:showCatName val="0"/>
          <c:showSerName val="0"/>
          <c:showPercent val="0"/>
          <c:showBubbleSize val="0"/>
        </c:dLbls>
        <c:gapWidth val="150"/>
        <c:shape val="box"/>
        <c:axId val="1778991152"/>
        <c:axId val="1675477232"/>
        <c:axId val="0"/>
      </c:bar3DChart>
      <c:catAx>
        <c:axId val="17789911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477232"/>
        <c:crosses val="autoZero"/>
        <c:auto val="1"/>
        <c:lblAlgn val="ctr"/>
        <c:lblOffset val="100"/>
        <c:noMultiLvlLbl val="0"/>
      </c:catAx>
      <c:valAx>
        <c:axId val="16754772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99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[Project02.P1.Healthcare.Vishal Adlakha.XLSX]Sheet9!PivotTable10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a:t>
            </a:r>
            <a:r>
              <a:rPr lang="en-US" sz="1400" b="0" i="0" u="none" strike="noStrike" baseline="0"/>
              <a:t>Average Age of Patients by Medical Condition</a:t>
            </a:r>
            <a:endParaRPr lang="en-US"/>
          </a:p>
        </c:rich>
      </c:tx>
      <c:layout>
        <c:manualLayout>
          <c:xMode val="edge"/>
          <c:yMode val="edge"/>
          <c:x val="9.688888888888888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Sheet9!$B$3</c:f>
              <c:strCache>
                <c:ptCount val="1"/>
                <c:pt idx="0">
                  <c:v>Total</c:v>
                </c:pt>
              </c:strCache>
            </c:strRef>
          </c:tx>
          <c:spPr>
            <a:solidFill>
              <a:schemeClr val="accent1"/>
            </a:solidFill>
            <a:ln>
              <a:noFill/>
            </a:ln>
            <a:effectLst/>
            <a:sp3d/>
          </c:spPr>
          <c:invertIfNegative val="0"/>
          <c:cat>
            <c:strRef>
              <c:f>Sheet9!$A$4:$A$13</c:f>
              <c:strCache>
                <c:ptCount val="9"/>
                <c:pt idx="0">
                  <c:v>Arthritis</c:v>
                </c:pt>
                <c:pt idx="1">
                  <c:v>Asthma</c:v>
                </c:pt>
                <c:pt idx="2">
                  <c:v>Cancer</c:v>
                </c:pt>
                <c:pt idx="3">
                  <c:v>Diabetes</c:v>
                </c:pt>
                <c:pt idx="4">
                  <c:v>Heart Disease</c:v>
                </c:pt>
                <c:pt idx="5">
                  <c:v>High Cholesterol</c:v>
                </c:pt>
                <c:pt idx="6">
                  <c:v>Hypertension</c:v>
                </c:pt>
                <c:pt idx="7">
                  <c:v>Obesity</c:v>
                </c:pt>
                <c:pt idx="8">
                  <c:v>Stroke</c:v>
                </c:pt>
              </c:strCache>
            </c:strRef>
          </c:cat>
          <c:val>
            <c:numRef>
              <c:f>Sheet9!$B$4:$B$13</c:f>
              <c:numCache>
                <c:formatCode>0</c:formatCode>
                <c:ptCount val="9"/>
                <c:pt idx="0">
                  <c:v>52.222222222222221</c:v>
                </c:pt>
                <c:pt idx="1">
                  <c:v>43.6</c:v>
                </c:pt>
                <c:pt idx="2">
                  <c:v>64.875</c:v>
                </c:pt>
                <c:pt idx="3">
                  <c:v>54.666666666666664</c:v>
                </c:pt>
                <c:pt idx="4">
                  <c:v>54</c:v>
                </c:pt>
                <c:pt idx="5">
                  <c:v>46.666666666666664</c:v>
                </c:pt>
                <c:pt idx="6">
                  <c:v>38.6</c:v>
                </c:pt>
                <c:pt idx="7">
                  <c:v>42.5</c:v>
                </c:pt>
                <c:pt idx="8">
                  <c:v>61.625</c:v>
                </c:pt>
              </c:numCache>
            </c:numRef>
          </c:val>
          <c:extLst>
            <c:ext xmlns:c16="http://schemas.microsoft.com/office/drawing/2014/chart" uri="{C3380CC4-5D6E-409C-BE32-E72D297353CC}">
              <c16:uniqueId val="{00000000-8DA2-46A4-9B1D-E66256E45081}"/>
            </c:ext>
          </c:extLst>
        </c:ser>
        <c:dLbls>
          <c:showLegendKey val="0"/>
          <c:showVal val="0"/>
          <c:showCatName val="0"/>
          <c:showSerName val="0"/>
          <c:showPercent val="0"/>
          <c:showBubbleSize val="0"/>
        </c:dLbls>
        <c:gapWidth val="150"/>
        <c:shape val="box"/>
        <c:axId val="1685358752"/>
        <c:axId val="1685340992"/>
        <c:axId val="0"/>
      </c:bar3DChart>
      <c:catAx>
        <c:axId val="1685358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340992"/>
        <c:crosses val="autoZero"/>
        <c:auto val="1"/>
        <c:lblAlgn val="ctr"/>
        <c:lblOffset val="100"/>
        <c:noMultiLvlLbl val="0"/>
      </c:catAx>
      <c:valAx>
        <c:axId val="16853409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358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[Project02.P1.Healthcare.Vishal Adlakha.XLSX]Sheet10!PivotTable11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Percentage of Patients with Chronic Conditions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Sheet10!$B$3</c:f>
              <c:strCache>
                <c:ptCount val="1"/>
                <c:pt idx="0">
                  <c:v>Total</c:v>
                </c:pt>
              </c:strCache>
            </c:strRef>
          </c:tx>
          <c:spPr>
            <a:solidFill>
              <a:schemeClr val="accent1"/>
            </a:solidFill>
            <a:ln>
              <a:noFill/>
            </a:ln>
            <a:effectLst/>
            <a:sp3d/>
          </c:spPr>
          <c:invertIfNegative val="0"/>
          <c:cat>
            <c:strRef>
              <c:f>Sheet10!$A$4:$A$13</c:f>
              <c:strCache>
                <c:ptCount val="9"/>
                <c:pt idx="0">
                  <c:v>High Cholesterol</c:v>
                </c:pt>
                <c:pt idx="1">
                  <c:v>Arthritis</c:v>
                </c:pt>
                <c:pt idx="2">
                  <c:v>Diabetes</c:v>
                </c:pt>
                <c:pt idx="3">
                  <c:v>Heart Disease</c:v>
                </c:pt>
                <c:pt idx="4">
                  <c:v>Obesity</c:v>
                </c:pt>
                <c:pt idx="5">
                  <c:v>Cancer</c:v>
                </c:pt>
                <c:pt idx="6">
                  <c:v>Stroke</c:v>
                </c:pt>
                <c:pt idx="7">
                  <c:v>Asthma</c:v>
                </c:pt>
                <c:pt idx="8">
                  <c:v>Hypertension</c:v>
                </c:pt>
              </c:strCache>
            </c:strRef>
          </c:cat>
          <c:val>
            <c:numRef>
              <c:f>Sheet10!$B$4:$B$13</c:f>
              <c:numCache>
                <c:formatCode>0.00%</c:formatCode>
                <c:ptCount val="9"/>
                <c:pt idx="0">
                  <c:v>0.12857142857142856</c:v>
                </c:pt>
                <c:pt idx="1">
                  <c:v>0.12857142857142856</c:v>
                </c:pt>
                <c:pt idx="2">
                  <c:v>0.12857142857142856</c:v>
                </c:pt>
                <c:pt idx="3">
                  <c:v>0.12857142857142856</c:v>
                </c:pt>
                <c:pt idx="4">
                  <c:v>0.11428571428571428</c:v>
                </c:pt>
                <c:pt idx="5">
                  <c:v>0.11428571428571428</c:v>
                </c:pt>
                <c:pt idx="6">
                  <c:v>0.11428571428571428</c:v>
                </c:pt>
                <c:pt idx="7">
                  <c:v>7.1428571428571425E-2</c:v>
                </c:pt>
                <c:pt idx="8">
                  <c:v>7.1428571428571425E-2</c:v>
                </c:pt>
              </c:numCache>
            </c:numRef>
          </c:val>
          <c:extLst>
            <c:ext xmlns:c16="http://schemas.microsoft.com/office/drawing/2014/chart" uri="{C3380CC4-5D6E-409C-BE32-E72D297353CC}">
              <c16:uniqueId val="{00000000-F928-424B-B8CB-957656A48FBF}"/>
            </c:ext>
          </c:extLst>
        </c:ser>
        <c:dLbls>
          <c:showLegendKey val="0"/>
          <c:showVal val="0"/>
          <c:showCatName val="0"/>
          <c:showSerName val="0"/>
          <c:showPercent val="0"/>
          <c:showBubbleSize val="0"/>
        </c:dLbls>
        <c:gapWidth val="150"/>
        <c:shape val="box"/>
        <c:axId val="1878357264"/>
        <c:axId val="1878352944"/>
        <c:axId val="0"/>
      </c:bar3DChart>
      <c:catAx>
        <c:axId val="1878357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352944"/>
        <c:crosses val="autoZero"/>
        <c:auto val="1"/>
        <c:lblAlgn val="ctr"/>
        <c:lblOffset val="100"/>
        <c:noMultiLvlLbl val="0"/>
      </c:catAx>
      <c:valAx>
        <c:axId val="18783529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357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[Project02.P1.Healthcare.Vishal Adlakha.XLSX]Sheet11!PivotTable12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Comparison of Treatment Costs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solidFill>
              <a:schemeClr val="accent1"/>
            </a:solidFill>
            <a:ln>
              <a:noFill/>
            </a:ln>
            <a:effectLst/>
          </c:spPr>
          <c:invertIfNegative val="0"/>
          <c:cat>
            <c:strRef>
              <c:f>Sheet11!$A$4:$A$8</c:f>
              <c:strCache>
                <c:ptCount val="4"/>
                <c:pt idx="0">
                  <c:v>2021</c:v>
                </c:pt>
                <c:pt idx="1">
                  <c:v>2022</c:v>
                </c:pt>
                <c:pt idx="2">
                  <c:v>2023</c:v>
                </c:pt>
                <c:pt idx="3">
                  <c:v>2024</c:v>
                </c:pt>
              </c:strCache>
            </c:strRef>
          </c:cat>
          <c:val>
            <c:numRef>
              <c:f>Sheet11!$B$4:$B$8</c:f>
              <c:numCache>
                <c:formatCode>General</c:formatCode>
                <c:ptCount val="4"/>
                <c:pt idx="0">
                  <c:v>9900</c:v>
                </c:pt>
                <c:pt idx="1">
                  <c:v>27900</c:v>
                </c:pt>
                <c:pt idx="2">
                  <c:v>31400</c:v>
                </c:pt>
                <c:pt idx="3">
                  <c:v>10200</c:v>
                </c:pt>
              </c:numCache>
            </c:numRef>
          </c:val>
          <c:extLst>
            <c:ext xmlns:c16="http://schemas.microsoft.com/office/drawing/2014/chart" uri="{C3380CC4-5D6E-409C-BE32-E72D297353CC}">
              <c16:uniqueId val="{00000005-553A-412A-90F5-B659C6C856B7}"/>
            </c:ext>
          </c:extLst>
        </c:ser>
        <c:dLbls>
          <c:showLegendKey val="0"/>
          <c:showVal val="0"/>
          <c:showCatName val="0"/>
          <c:showSerName val="0"/>
          <c:showPercent val="0"/>
          <c:showBubbleSize val="0"/>
        </c:dLbls>
        <c:gapWidth val="219"/>
        <c:overlap val="-27"/>
        <c:axId val="1676112720"/>
        <c:axId val="1676113200"/>
      </c:barChart>
      <c:catAx>
        <c:axId val="167611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113200"/>
        <c:crosses val="autoZero"/>
        <c:auto val="1"/>
        <c:lblAlgn val="ctr"/>
        <c:lblOffset val="100"/>
        <c:noMultiLvlLbl val="0"/>
      </c:catAx>
      <c:valAx>
        <c:axId val="1676113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11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[Project02.P1.Healthcare.Vishal Adlakha.XLSX]Sheet12!PivotTable13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Sheet12!$B$3:$B$7</c:f>
              <c:strCache>
                <c:ptCount val="1"/>
                <c:pt idx="0">
                  <c:v>2021</c:v>
                </c:pt>
              </c:strCache>
            </c:strRef>
          </c:tx>
          <c:spPr>
            <a:solidFill>
              <a:schemeClr val="accent1"/>
            </a:solidFill>
            <a:ln>
              <a:noFill/>
            </a:ln>
            <a:effectLst/>
          </c:spPr>
          <c:invertIfNegative val="0"/>
          <c:cat>
            <c:strRef>
              <c:f>Sheet12!$A$8:$A$11</c:f>
              <c:strCache>
                <c:ptCount val="3"/>
                <c:pt idx="0">
                  <c:v>Medicaid</c:v>
                </c:pt>
                <c:pt idx="1">
                  <c:v>Medicare</c:v>
                </c:pt>
                <c:pt idx="2">
                  <c:v>Private</c:v>
                </c:pt>
              </c:strCache>
            </c:strRef>
          </c:cat>
          <c:val>
            <c:numRef>
              <c:f>Sheet12!$B$8:$B$11</c:f>
              <c:numCache>
                <c:formatCode>General</c:formatCode>
                <c:ptCount val="3"/>
                <c:pt idx="0">
                  <c:v>600</c:v>
                </c:pt>
                <c:pt idx="1">
                  <c:v>5000</c:v>
                </c:pt>
                <c:pt idx="2">
                  <c:v>4300</c:v>
                </c:pt>
              </c:numCache>
            </c:numRef>
          </c:val>
          <c:extLst>
            <c:ext xmlns:c16="http://schemas.microsoft.com/office/drawing/2014/chart" uri="{C3380CC4-5D6E-409C-BE32-E72D297353CC}">
              <c16:uniqueId val="{00000000-D3BD-483E-9C93-1770847EB4BD}"/>
            </c:ext>
          </c:extLst>
        </c:ser>
        <c:ser>
          <c:idx val="1"/>
          <c:order val="1"/>
          <c:tx>
            <c:strRef>
              <c:f>Sheet12!$C$3:$C$7</c:f>
              <c:strCache>
                <c:ptCount val="1"/>
                <c:pt idx="0">
                  <c:v>2022</c:v>
                </c:pt>
              </c:strCache>
            </c:strRef>
          </c:tx>
          <c:spPr>
            <a:solidFill>
              <a:schemeClr val="accent2"/>
            </a:solidFill>
            <a:ln>
              <a:noFill/>
            </a:ln>
            <a:effectLst/>
          </c:spPr>
          <c:invertIfNegative val="0"/>
          <c:cat>
            <c:strRef>
              <c:f>Sheet12!$A$8:$A$11</c:f>
              <c:strCache>
                <c:ptCount val="3"/>
                <c:pt idx="0">
                  <c:v>Medicaid</c:v>
                </c:pt>
                <c:pt idx="1">
                  <c:v>Medicare</c:v>
                </c:pt>
                <c:pt idx="2">
                  <c:v>Private</c:v>
                </c:pt>
              </c:strCache>
            </c:strRef>
          </c:cat>
          <c:val>
            <c:numRef>
              <c:f>Sheet12!$C$8:$C$11</c:f>
              <c:numCache>
                <c:formatCode>General</c:formatCode>
                <c:ptCount val="3"/>
                <c:pt idx="0">
                  <c:v>1200</c:v>
                </c:pt>
                <c:pt idx="1">
                  <c:v>9000</c:v>
                </c:pt>
                <c:pt idx="2">
                  <c:v>17700</c:v>
                </c:pt>
              </c:numCache>
            </c:numRef>
          </c:val>
          <c:extLst>
            <c:ext xmlns:c16="http://schemas.microsoft.com/office/drawing/2014/chart" uri="{C3380CC4-5D6E-409C-BE32-E72D297353CC}">
              <c16:uniqueId val="{00000001-D3BD-483E-9C93-1770847EB4BD}"/>
            </c:ext>
          </c:extLst>
        </c:ser>
        <c:ser>
          <c:idx val="2"/>
          <c:order val="2"/>
          <c:tx>
            <c:strRef>
              <c:f>Sheet12!$D$3:$D$7</c:f>
              <c:strCache>
                <c:ptCount val="1"/>
                <c:pt idx="0">
                  <c:v>2023</c:v>
                </c:pt>
              </c:strCache>
            </c:strRef>
          </c:tx>
          <c:spPr>
            <a:solidFill>
              <a:schemeClr val="accent3"/>
            </a:solidFill>
            <a:ln>
              <a:noFill/>
            </a:ln>
            <a:effectLst/>
          </c:spPr>
          <c:invertIfNegative val="0"/>
          <c:cat>
            <c:strRef>
              <c:f>Sheet12!$A$8:$A$11</c:f>
              <c:strCache>
                <c:ptCount val="3"/>
                <c:pt idx="0">
                  <c:v>Medicaid</c:v>
                </c:pt>
                <c:pt idx="1">
                  <c:v>Medicare</c:v>
                </c:pt>
                <c:pt idx="2">
                  <c:v>Private</c:v>
                </c:pt>
              </c:strCache>
            </c:strRef>
          </c:cat>
          <c:val>
            <c:numRef>
              <c:f>Sheet12!$D$8:$D$11</c:f>
              <c:numCache>
                <c:formatCode>General</c:formatCode>
                <c:ptCount val="3"/>
                <c:pt idx="0">
                  <c:v>1500</c:v>
                </c:pt>
                <c:pt idx="1">
                  <c:v>14400</c:v>
                </c:pt>
                <c:pt idx="2">
                  <c:v>15500</c:v>
                </c:pt>
              </c:numCache>
            </c:numRef>
          </c:val>
          <c:extLst>
            <c:ext xmlns:c16="http://schemas.microsoft.com/office/drawing/2014/chart" uri="{C3380CC4-5D6E-409C-BE32-E72D297353CC}">
              <c16:uniqueId val="{00000002-D3BD-483E-9C93-1770847EB4BD}"/>
            </c:ext>
          </c:extLst>
        </c:ser>
        <c:ser>
          <c:idx val="3"/>
          <c:order val="3"/>
          <c:tx>
            <c:strRef>
              <c:f>Sheet12!$E$3:$E$7</c:f>
              <c:strCache>
                <c:ptCount val="1"/>
                <c:pt idx="0">
                  <c:v>2024</c:v>
                </c:pt>
              </c:strCache>
            </c:strRef>
          </c:tx>
          <c:spPr>
            <a:solidFill>
              <a:schemeClr val="accent4"/>
            </a:solidFill>
            <a:ln>
              <a:noFill/>
            </a:ln>
            <a:effectLst/>
          </c:spPr>
          <c:invertIfNegative val="0"/>
          <c:cat>
            <c:strRef>
              <c:f>Sheet12!$A$8:$A$11</c:f>
              <c:strCache>
                <c:ptCount val="3"/>
                <c:pt idx="0">
                  <c:v>Medicaid</c:v>
                </c:pt>
                <c:pt idx="1">
                  <c:v>Medicare</c:v>
                </c:pt>
                <c:pt idx="2">
                  <c:v>Private</c:v>
                </c:pt>
              </c:strCache>
            </c:strRef>
          </c:cat>
          <c:val>
            <c:numRef>
              <c:f>Sheet12!$E$8:$E$11</c:f>
              <c:numCache>
                <c:formatCode>General</c:formatCode>
                <c:ptCount val="3"/>
                <c:pt idx="0">
                  <c:v>1100</c:v>
                </c:pt>
                <c:pt idx="1">
                  <c:v>4500</c:v>
                </c:pt>
                <c:pt idx="2">
                  <c:v>4600</c:v>
                </c:pt>
              </c:numCache>
            </c:numRef>
          </c:val>
          <c:extLst>
            <c:ext xmlns:c16="http://schemas.microsoft.com/office/drawing/2014/chart" uri="{C3380CC4-5D6E-409C-BE32-E72D297353CC}">
              <c16:uniqueId val="{00000003-D3BD-483E-9C93-1770847EB4BD}"/>
            </c:ext>
          </c:extLst>
        </c:ser>
        <c:dLbls>
          <c:showLegendKey val="0"/>
          <c:showVal val="0"/>
          <c:showCatName val="0"/>
          <c:showSerName val="0"/>
          <c:showPercent val="0"/>
          <c:showBubbleSize val="0"/>
        </c:dLbls>
        <c:gapWidth val="219"/>
        <c:overlap val="-27"/>
        <c:axId val="1685354912"/>
        <c:axId val="1685356352"/>
      </c:barChart>
      <c:catAx>
        <c:axId val="168535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356352"/>
        <c:crosses val="autoZero"/>
        <c:auto val="1"/>
        <c:lblAlgn val="ctr"/>
        <c:lblOffset val="100"/>
        <c:noMultiLvlLbl val="0"/>
      </c:catAx>
      <c:valAx>
        <c:axId val="1685356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35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[Project02.P1.Healthcare.Vishal Adlakha.XLSX]Sheet1!PivotTable1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Treatment Cost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5.5555555555555558E-3"/>
              <c:y val="-4.2432814710042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5.0925337632079971E-17"/>
              <c:y val="-8.0150872230080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0925337632079971E-17"/>
              <c:y val="-8.0150872230080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5555555555555558E-3"/>
              <c:y val="-4.2432814710042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5.0925337632079971E-17"/>
              <c:y val="-8.0150872230080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5.5555555555555558E-3"/>
              <c:y val="-4.2432814710042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A2B4-4599-AD9F-2EA8026A04F9}"/>
              </c:ext>
            </c:extLst>
          </c:dPt>
          <c:dPt>
            <c:idx val="1"/>
            <c:invertIfNegative val="0"/>
            <c:bubble3D val="0"/>
            <c:extLst>
              <c:ext xmlns:c16="http://schemas.microsoft.com/office/drawing/2014/chart" uri="{C3380CC4-5D6E-409C-BE32-E72D297353CC}">
                <c16:uniqueId val="{00000001-A2B4-4599-AD9F-2EA8026A04F9}"/>
              </c:ext>
            </c:extLst>
          </c:dPt>
          <c:dLbls>
            <c:dLbl>
              <c:idx val="0"/>
              <c:layout>
                <c:manualLayout>
                  <c:x val="-5.0925337632079971E-17"/>
                  <c:y val="-8.01508722300801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2B4-4599-AD9F-2EA8026A04F9}"/>
                </c:ext>
              </c:extLst>
            </c:dLbl>
            <c:dLbl>
              <c:idx val="1"/>
              <c:layout>
                <c:manualLayout>
                  <c:x val="5.5555555555555558E-3"/>
                  <c:y val="-4.24328147100424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B4-4599-AD9F-2EA8026A04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Sheet1!$A$4:$A$5</c:f>
              <c:strCache>
                <c:ptCount val="2"/>
                <c:pt idx="0">
                  <c:v>Female</c:v>
                </c:pt>
                <c:pt idx="1">
                  <c:v>Male</c:v>
                </c:pt>
              </c:strCache>
            </c:strRef>
          </c:cat>
          <c:val>
            <c:numRef>
              <c:f>Sheet1!$B$4:$B$5</c:f>
              <c:numCache>
                <c:formatCode>0</c:formatCode>
                <c:ptCount val="2"/>
                <c:pt idx="0">
                  <c:v>977.14285714285711</c:v>
                </c:pt>
                <c:pt idx="1">
                  <c:v>1291.4285714285713</c:v>
                </c:pt>
              </c:numCache>
            </c:numRef>
          </c:val>
          <c:extLst>
            <c:ext xmlns:c16="http://schemas.microsoft.com/office/drawing/2014/chart" uri="{C3380CC4-5D6E-409C-BE32-E72D297353CC}">
              <c16:uniqueId val="{00000002-A2B4-4599-AD9F-2EA8026A04F9}"/>
            </c:ext>
          </c:extLst>
        </c:ser>
        <c:dLbls>
          <c:showLegendKey val="0"/>
          <c:showVal val="1"/>
          <c:showCatName val="0"/>
          <c:showSerName val="0"/>
          <c:showPercent val="0"/>
          <c:showBubbleSize val="0"/>
        </c:dLbls>
        <c:gapWidth val="150"/>
        <c:shape val="box"/>
        <c:axId val="1685335232"/>
        <c:axId val="1685360192"/>
        <c:axId val="0"/>
      </c:bar3DChart>
      <c:catAx>
        <c:axId val="1685335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360192"/>
        <c:crosses val="autoZero"/>
        <c:auto val="1"/>
        <c:lblAlgn val="ctr"/>
        <c:lblOffset val="100"/>
        <c:noMultiLvlLbl val="0"/>
      </c:catAx>
      <c:valAx>
        <c:axId val="16853601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33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[Project02.P1.Healthcare.Vishal Adlakha.XLSX]Sheet2!PivotTable2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Patients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1"/>
            </a:solidFill>
            <a:ln>
              <a:noFill/>
            </a:ln>
            <a:effectLst/>
            <a:sp3d/>
          </c:spPr>
          <c:invertIfNegative val="0"/>
          <c:cat>
            <c:strRef>
              <c:f>Sheet2!$A$4:$A$10</c:f>
              <c:strCache>
                <c:ptCount val="6"/>
                <c:pt idx="0">
                  <c:v>28-37</c:v>
                </c:pt>
                <c:pt idx="1">
                  <c:v>38-47</c:v>
                </c:pt>
                <c:pt idx="2">
                  <c:v>48-57</c:v>
                </c:pt>
                <c:pt idx="3">
                  <c:v>58-67</c:v>
                </c:pt>
                <c:pt idx="4">
                  <c:v>68-77</c:v>
                </c:pt>
                <c:pt idx="5">
                  <c:v>78-87</c:v>
                </c:pt>
              </c:strCache>
            </c:strRef>
          </c:cat>
          <c:val>
            <c:numRef>
              <c:f>Sheet2!$B$4:$B$10</c:f>
              <c:numCache>
                <c:formatCode>General</c:formatCode>
                <c:ptCount val="6"/>
                <c:pt idx="0">
                  <c:v>13</c:v>
                </c:pt>
                <c:pt idx="1">
                  <c:v>13</c:v>
                </c:pt>
                <c:pt idx="2">
                  <c:v>16</c:v>
                </c:pt>
                <c:pt idx="3">
                  <c:v>16</c:v>
                </c:pt>
                <c:pt idx="4">
                  <c:v>11</c:v>
                </c:pt>
                <c:pt idx="5">
                  <c:v>1</c:v>
                </c:pt>
              </c:numCache>
            </c:numRef>
          </c:val>
          <c:extLst>
            <c:ext xmlns:c16="http://schemas.microsoft.com/office/drawing/2014/chart" uri="{C3380CC4-5D6E-409C-BE32-E72D297353CC}">
              <c16:uniqueId val="{00000000-C9A1-4728-87D2-514D759ECBD0}"/>
            </c:ext>
          </c:extLst>
        </c:ser>
        <c:dLbls>
          <c:showLegendKey val="0"/>
          <c:showVal val="0"/>
          <c:showCatName val="0"/>
          <c:showSerName val="0"/>
          <c:showPercent val="0"/>
          <c:showBubbleSize val="0"/>
        </c:dLbls>
        <c:gapWidth val="150"/>
        <c:shape val="box"/>
        <c:axId val="1685334752"/>
        <c:axId val="1685355872"/>
        <c:axId val="0"/>
      </c:bar3DChart>
      <c:catAx>
        <c:axId val="1685334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355872"/>
        <c:crosses val="autoZero"/>
        <c:auto val="1"/>
        <c:lblAlgn val="ctr"/>
        <c:lblOffset val="100"/>
        <c:noMultiLvlLbl val="0"/>
      </c:catAx>
      <c:valAx>
        <c:axId val="1685355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33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[Project02.P1.Healthcare.Vishal Adlakha.XLSX]Sheet4!PivotTable5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Common Medical Condition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Total</c:v>
                </c:pt>
              </c:strCache>
            </c:strRef>
          </c:tx>
          <c:spPr>
            <a:solidFill>
              <a:schemeClr val="accent1"/>
            </a:solidFill>
            <a:ln>
              <a:noFill/>
            </a:ln>
            <a:effectLst/>
            <a:sp3d/>
          </c:spPr>
          <c:invertIfNegative val="0"/>
          <c:cat>
            <c:strRef>
              <c:f>Sheet4!$A$4:$A$13</c:f>
              <c:strCache>
                <c:ptCount val="9"/>
                <c:pt idx="0">
                  <c:v>High Cholesterol</c:v>
                </c:pt>
                <c:pt idx="1">
                  <c:v>Arthritis</c:v>
                </c:pt>
                <c:pt idx="2">
                  <c:v>Diabetes</c:v>
                </c:pt>
                <c:pt idx="3">
                  <c:v>Heart Disease</c:v>
                </c:pt>
                <c:pt idx="4">
                  <c:v>Obesity</c:v>
                </c:pt>
                <c:pt idx="5">
                  <c:v>Cancer</c:v>
                </c:pt>
                <c:pt idx="6">
                  <c:v>Stroke</c:v>
                </c:pt>
                <c:pt idx="7">
                  <c:v>Asthma</c:v>
                </c:pt>
                <c:pt idx="8">
                  <c:v>Hypertension</c:v>
                </c:pt>
              </c:strCache>
            </c:strRef>
          </c:cat>
          <c:val>
            <c:numRef>
              <c:f>Sheet4!$B$4:$B$13</c:f>
              <c:numCache>
                <c:formatCode>General</c:formatCode>
                <c:ptCount val="9"/>
                <c:pt idx="0">
                  <c:v>9</c:v>
                </c:pt>
                <c:pt idx="1">
                  <c:v>9</c:v>
                </c:pt>
                <c:pt idx="2">
                  <c:v>9</c:v>
                </c:pt>
                <c:pt idx="3">
                  <c:v>9</c:v>
                </c:pt>
                <c:pt idx="4">
                  <c:v>8</c:v>
                </c:pt>
                <c:pt idx="5">
                  <c:v>8</c:v>
                </c:pt>
                <c:pt idx="6">
                  <c:v>8</c:v>
                </c:pt>
                <c:pt idx="7">
                  <c:v>5</c:v>
                </c:pt>
                <c:pt idx="8">
                  <c:v>5</c:v>
                </c:pt>
              </c:numCache>
            </c:numRef>
          </c:val>
          <c:extLst>
            <c:ext xmlns:c16="http://schemas.microsoft.com/office/drawing/2014/chart" uri="{C3380CC4-5D6E-409C-BE32-E72D297353CC}">
              <c16:uniqueId val="{00000000-F1C8-44D4-9BA0-70A0597813AB}"/>
            </c:ext>
          </c:extLst>
        </c:ser>
        <c:dLbls>
          <c:showLegendKey val="0"/>
          <c:showVal val="0"/>
          <c:showCatName val="0"/>
          <c:showSerName val="0"/>
          <c:showPercent val="0"/>
          <c:showBubbleSize val="0"/>
        </c:dLbls>
        <c:gapWidth val="150"/>
        <c:shape val="box"/>
        <c:axId val="1781042608"/>
        <c:axId val="1781042128"/>
        <c:axId val="0"/>
      </c:bar3DChart>
      <c:catAx>
        <c:axId val="1781042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042128"/>
        <c:crosses val="autoZero"/>
        <c:auto val="1"/>
        <c:lblAlgn val="ctr"/>
        <c:lblOffset val="100"/>
        <c:noMultiLvlLbl val="0"/>
      </c:catAx>
      <c:valAx>
        <c:axId val="1781042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042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[Project02.P1.Healthcare.Vishal Adlakha.XLSX]Sheet6!PivotTable7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Treatment Cost by Age Group and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Sheet6!$B$3:$B$4</c:f>
              <c:strCache>
                <c:ptCount val="1"/>
                <c:pt idx="0">
                  <c:v>Female</c:v>
                </c:pt>
              </c:strCache>
            </c:strRef>
          </c:tx>
          <c:spPr>
            <a:solidFill>
              <a:schemeClr val="accent1"/>
            </a:solidFill>
            <a:ln>
              <a:noFill/>
            </a:ln>
            <a:effectLst/>
            <a:sp3d/>
          </c:spPr>
          <c:invertIfNegative val="0"/>
          <c:cat>
            <c:strRef>
              <c:f>Sheet6!$A$5:$A$11</c:f>
              <c:strCache>
                <c:ptCount val="6"/>
                <c:pt idx="0">
                  <c:v>28-37</c:v>
                </c:pt>
                <c:pt idx="1">
                  <c:v>38-47</c:v>
                </c:pt>
                <c:pt idx="2">
                  <c:v>48-57</c:v>
                </c:pt>
                <c:pt idx="3">
                  <c:v>58-67</c:v>
                </c:pt>
                <c:pt idx="4">
                  <c:v>68-77</c:v>
                </c:pt>
                <c:pt idx="5">
                  <c:v>78-87</c:v>
                </c:pt>
              </c:strCache>
            </c:strRef>
          </c:cat>
          <c:val>
            <c:numRef>
              <c:f>Sheet6!$B$5:$B$11</c:f>
              <c:numCache>
                <c:formatCode>General</c:formatCode>
                <c:ptCount val="6"/>
                <c:pt idx="0">
                  <c:v>675</c:v>
                </c:pt>
                <c:pt idx="1">
                  <c:v>700</c:v>
                </c:pt>
                <c:pt idx="2">
                  <c:v>914.28571428571433</c:v>
                </c:pt>
                <c:pt idx="3">
                  <c:v>1742.8571428571429</c:v>
                </c:pt>
                <c:pt idx="4">
                  <c:v>1066.6666666666667</c:v>
                </c:pt>
              </c:numCache>
            </c:numRef>
          </c:val>
          <c:extLst>
            <c:ext xmlns:c16="http://schemas.microsoft.com/office/drawing/2014/chart" uri="{C3380CC4-5D6E-409C-BE32-E72D297353CC}">
              <c16:uniqueId val="{00000000-079D-43DA-A487-7E5D5B75C377}"/>
            </c:ext>
          </c:extLst>
        </c:ser>
        <c:ser>
          <c:idx val="1"/>
          <c:order val="1"/>
          <c:tx>
            <c:strRef>
              <c:f>Sheet6!$C$3:$C$4</c:f>
              <c:strCache>
                <c:ptCount val="1"/>
                <c:pt idx="0">
                  <c:v>Male</c:v>
                </c:pt>
              </c:strCache>
            </c:strRef>
          </c:tx>
          <c:spPr>
            <a:solidFill>
              <a:schemeClr val="accent2"/>
            </a:solidFill>
            <a:ln>
              <a:noFill/>
            </a:ln>
            <a:effectLst/>
            <a:sp3d/>
          </c:spPr>
          <c:invertIfNegative val="0"/>
          <c:cat>
            <c:strRef>
              <c:f>Sheet6!$A$5:$A$11</c:f>
              <c:strCache>
                <c:ptCount val="6"/>
                <c:pt idx="0">
                  <c:v>28-37</c:v>
                </c:pt>
                <c:pt idx="1">
                  <c:v>38-47</c:v>
                </c:pt>
                <c:pt idx="2">
                  <c:v>48-57</c:v>
                </c:pt>
                <c:pt idx="3">
                  <c:v>58-67</c:v>
                </c:pt>
                <c:pt idx="4">
                  <c:v>68-77</c:v>
                </c:pt>
                <c:pt idx="5">
                  <c:v>78-87</c:v>
                </c:pt>
              </c:strCache>
            </c:strRef>
          </c:cat>
          <c:val>
            <c:numRef>
              <c:f>Sheet6!$C$5:$C$11</c:f>
              <c:numCache>
                <c:formatCode>General</c:formatCode>
                <c:ptCount val="6"/>
                <c:pt idx="0">
                  <c:v>980</c:v>
                </c:pt>
                <c:pt idx="1">
                  <c:v>666.66666666666663</c:v>
                </c:pt>
                <c:pt idx="2">
                  <c:v>855.55555555555554</c:v>
                </c:pt>
                <c:pt idx="3">
                  <c:v>1733.3333333333333</c:v>
                </c:pt>
                <c:pt idx="4">
                  <c:v>1775</c:v>
                </c:pt>
                <c:pt idx="5">
                  <c:v>800</c:v>
                </c:pt>
              </c:numCache>
            </c:numRef>
          </c:val>
          <c:extLst>
            <c:ext xmlns:c16="http://schemas.microsoft.com/office/drawing/2014/chart" uri="{C3380CC4-5D6E-409C-BE32-E72D297353CC}">
              <c16:uniqueId val="{00000001-079D-43DA-A487-7E5D5B75C377}"/>
            </c:ext>
          </c:extLst>
        </c:ser>
        <c:dLbls>
          <c:showLegendKey val="0"/>
          <c:showVal val="0"/>
          <c:showCatName val="0"/>
          <c:showSerName val="0"/>
          <c:showPercent val="0"/>
          <c:showBubbleSize val="0"/>
        </c:dLbls>
        <c:gapWidth val="150"/>
        <c:shape val="box"/>
        <c:axId val="1818013072"/>
        <c:axId val="1818010192"/>
        <c:axId val="0"/>
      </c:bar3DChart>
      <c:catAx>
        <c:axId val="1818013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010192"/>
        <c:crosses val="autoZero"/>
        <c:auto val="1"/>
        <c:lblAlgn val="ctr"/>
        <c:lblOffset val="100"/>
        <c:noMultiLvlLbl val="0"/>
      </c:catAx>
      <c:valAx>
        <c:axId val="1818010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01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[Project02.P1.Healthcare.Vishal Adlakha.XLSX]Sheet7!PivotTable8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Distribution of Patients by Insurance Type and Gender</a:t>
            </a:r>
            <a:endParaRPr lang="en-US"/>
          </a:p>
        </c:rich>
      </c:tx>
      <c:layout>
        <c:manualLayout>
          <c:xMode val="edge"/>
          <c:yMode val="edge"/>
          <c:x val="0.13774300087489064"/>
          <c:y val="6.9444444444444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Female</c:v>
                </c:pt>
              </c:strCache>
            </c:strRef>
          </c:tx>
          <c:spPr>
            <a:solidFill>
              <a:schemeClr val="accent1"/>
            </a:solidFill>
            <a:ln>
              <a:noFill/>
            </a:ln>
            <a:effectLst/>
          </c:spPr>
          <c:invertIfNegative val="0"/>
          <c:cat>
            <c:strRef>
              <c:f>Sheet7!$A$5:$A$8</c:f>
              <c:strCache>
                <c:ptCount val="3"/>
                <c:pt idx="0">
                  <c:v>Medicaid</c:v>
                </c:pt>
                <c:pt idx="1">
                  <c:v>Medicare</c:v>
                </c:pt>
                <c:pt idx="2">
                  <c:v>Private</c:v>
                </c:pt>
              </c:strCache>
            </c:strRef>
          </c:cat>
          <c:val>
            <c:numRef>
              <c:f>Sheet7!$B$5:$B$8</c:f>
              <c:numCache>
                <c:formatCode>General</c:formatCode>
                <c:ptCount val="3"/>
                <c:pt idx="0">
                  <c:v>266</c:v>
                </c:pt>
                <c:pt idx="1">
                  <c:v>711</c:v>
                </c:pt>
                <c:pt idx="2">
                  <c:v>249</c:v>
                </c:pt>
              </c:numCache>
            </c:numRef>
          </c:val>
          <c:extLst>
            <c:ext xmlns:c16="http://schemas.microsoft.com/office/drawing/2014/chart" uri="{C3380CC4-5D6E-409C-BE32-E72D297353CC}">
              <c16:uniqueId val="{00000000-E05D-4DA6-AE04-1F9DF4A3E33D}"/>
            </c:ext>
          </c:extLst>
        </c:ser>
        <c:ser>
          <c:idx val="1"/>
          <c:order val="1"/>
          <c:tx>
            <c:strRef>
              <c:f>Sheet7!$C$3:$C$4</c:f>
              <c:strCache>
                <c:ptCount val="1"/>
                <c:pt idx="0">
                  <c:v>Male</c:v>
                </c:pt>
              </c:strCache>
            </c:strRef>
          </c:tx>
          <c:spPr>
            <a:solidFill>
              <a:schemeClr val="accent2"/>
            </a:solidFill>
            <a:ln>
              <a:noFill/>
            </a:ln>
            <a:effectLst/>
          </c:spPr>
          <c:invertIfNegative val="0"/>
          <c:cat>
            <c:strRef>
              <c:f>Sheet7!$A$5:$A$8</c:f>
              <c:strCache>
                <c:ptCount val="3"/>
                <c:pt idx="0">
                  <c:v>Medicaid</c:v>
                </c:pt>
                <c:pt idx="1">
                  <c:v>Medicare</c:v>
                </c:pt>
                <c:pt idx="2">
                  <c:v>Private</c:v>
                </c:pt>
              </c:strCache>
            </c:strRef>
          </c:cat>
          <c:val>
            <c:numRef>
              <c:f>Sheet7!$C$5:$C$8</c:f>
              <c:numCache>
                <c:formatCode>General</c:formatCode>
                <c:ptCount val="3"/>
                <c:pt idx="0">
                  <c:v>68</c:v>
                </c:pt>
                <c:pt idx="1">
                  <c:v>356</c:v>
                </c:pt>
                <c:pt idx="2">
                  <c:v>835</c:v>
                </c:pt>
              </c:numCache>
            </c:numRef>
          </c:val>
          <c:extLst>
            <c:ext xmlns:c16="http://schemas.microsoft.com/office/drawing/2014/chart" uri="{C3380CC4-5D6E-409C-BE32-E72D297353CC}">
              <c16:uniqueId val="{00000001-E05D-4DA6-AE04-1F9DF4A3E33D}"/>
            </c:ext>
          </c:extLst>
        </c:ser>
        <c:dLbls>
          <c:showLegendKey val="0"/>
          <c:showVal val="0"/>
          <c:showCatName val="0"/>
          <c:showSerName val="0"/>
          <c:showPercent val="0"/>
          <c:showBubbleSize val="0"/>
        </c:dLbls>
        <c:gapWidth val="219"/>
        <c:overlap val="-27"/>
        <c:axId val="1818012592"/>
        <c:axId val="1775519616"/>
      </c:barChart>
      <c:catAx>
        <c:axId val="181801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519616"/>
        <c:crosses val="autoZero"/>
        <c:auto val="1"/>
        <c:lblAlgn val="ctr"/>
        <c:lblOffset val="100"/>
        <c:noMultiLvlLbl val="0"/>
      </c:catAx>
      <c:valAx>
        <c:axId val="1775519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01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[Project02.P1.Healthcare.Vishal Adlakha.XLSX]Sheet11!PivotTable12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Comparison of Treatment Costs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solidFill>
              <a:schemeClr val="accent1"/>
            </a:solidFill>
            <a:ln>
              <a:noFill/>
            </a:ln>
            <a:effectLst/>
          </c:spPr>
          <c:invertIfNegative val="0"/>
          <c:cat>
            <c:strRef>
              <c:f>Sheet11!$A$4:$A$8</c:f>
              <c:strCache>
                <c:ptCount val="4"/>
                <c:pt idx="0">
                  <c:v>2021</c:v>
                </c:pt>
                <c:pt idx="1">
                  <c:v>2022</c:v>
                </c:pt>
                <c:pt idx="2">
                  <c:v>2023</c:v>
                </c:pt>
                <c:pt idx="3">
                  <c:v>2024</c:v>
                </c:pt>
              </c:strCache>
            </c:strRef>
          </c:cat>
          <c:val>
            <c:numRef>
              <c:f>Sheet11!$B$4:$B$8</c:f>
              <c:numCache>
                <c:formatCode>General</c:formatCode>
                <c:ptCount val="4"/>
                <c:pt idx="0">
                  <c:v>9900</c:v>
                </c:pt>
                <c:pt idx="1">
                  <c:v>27900</c:v>
                </c:pt>
                <c:pt idx="2">
                  <c:v>31400</c:v>
                </c:pt>
                <c:pt idx="3">
                  <c:v>10200</c:v>
                </c:pt>
              </c:numCache>
            </c:numRef>
          </c:val>
          <c:extLst>
            <c:ext xmlns:c16="http://schemas.microsoft.com/office/drawing/2014/chart" uri="{C3380CC4-5D6E-409C-BE32-E72D297353CC}">
              <c16:uniqueId val="{00000000-6D99-49EC-9246-659DA265D51D}"/>
            </c:ext>
          </c:extLst>
        </c:ser>
        <c:dLbls>
          <c:showLegendKey val="0"/>
          <c:showVal val="0"/>
          <c:showCatName val="0"/>
          <c:showSerName val="0"/>
          <c:showPercent val="0"/>
          <c:showBubbleSize val="0"/>
        </c:dLbls>
        <c:gapWidth val="219"/>
        <c:overlap val="-27"/>
        <c:axId val="1676112720"/>
        <c:axId val="1676113200"/>
      </c:barChart>
      <c:catAx>
        <c:axId val="167611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113200"/>
        <c:crosses val="autoZero"/>
        <c:auto val="1"/>
        <c:lblAlgn val="ctr"/>
        <c:lblOffset val="100"/>
        <c:noMultiLvlLbl val="0"/>
      </c:catAx>
      <c:valAx>
        <c:axId val="1676113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11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[Project02.P1.Healthcare.Vishal Adlakha.XLSX]Sheet12!PivotTable13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Sheet12!$B$3:$B$7</c:f>
              <c:strCache>
                <c:ptCount val="1"/>
                <c:pt idx="0">
                  <c:v>2021</c:v>
                </c:pt>
              </c:strCache>
            </c:strRef>
          </c:tx>
          <c:spPr>
            <a:solidFill>
              <a:schemeClr val="accent1"/>
            </a:solidFill>
            <a:ln>
              <a:noFill/>
            </a:ln>
            <a:effectLst/>
          </c:spPr>
          <c:invertIfNegative val="0"/>
          <c:cat>
            <c:strRef>
              <c:f>Sheet12!$A$8:$A$11</c:f>
              <c:strCache>
                <c:ptCount val="3"/>
                <c:pt idx="0">
                  <c:v>Medicaid</c:v>
                </c:pt>
                <c:pt idx="1">
                  <c:v>Medicare</c:v>
                </c:pt>
                <c:pt idx="2">
                  <c:v>Private</c:v>
                </c:pt>
              </c:strCache>
            </c:strRef>
          </c:cat>
          <c:val>
            <c:numRef>
              <c:f>Sheet12!$B$8:$B$11</c:f>
              <c:numCache>
                <c:formatCode>General</c:formatCode>
                <c:ptCount val="3"/>
                <c:pt idx="0">
                  <c:v>600</c:v>
                </c:pt>
                <c:pt idx="1">
                  <c:v>5000</c:v>
                </c:pt>
                <c:pt idx="2">
                  <c:v>4300</c:v>
                </c:pt>
              </c:numCache>
            </c:numRef>
          </c:val>
          <c:extLst>
            <c:ext xmlns:c16="http://schemas.microsoft.com/office/drawing/2014/chart" uri="{C3380CC4-5D6E-409C-BE32-E72D297353CC}">
              <c16:uniqueId val="{00000000-3DAC-46B6-8107-8B524DF93250}"/>
            </c:ext>
          </c:extLst>
        </c:ser>
        <c:ser>
          <c:idx val="1"/>
          <c:order val="1"/>
          <c:tx>
            <c:strRef>
              <c:f>Sheet12!$C$3:$C$7</c:f>
              <c:strCache>
                <c:ptCount val="1"/>
                <c:pt idx="0">
                  <c:v>2022</c:v>
                </c:pt>
              </c:strCache>
            </c:strRef>
          </c:tx>
          <c:spPr>
            <a:solidFill>
              <a:schemeClr val="accent2"/>
            </a:solidFill>
            <a:ln>
              <a:noFill/>
            </a:ln>
            <a:effectLst/>
          </c:spPr>
          <c:invertIfNegative val="0"/>
          <c:cat>
            <c:strRef>
              <c:f>Sheet12!$A$8:$A$11</c:f>
              <c:strCache>
                <c:ptCount val="3"/>
                <c:pt idx="0">
                  <c:v>Medicaid</c:v>
                </c:pt>
                <c:pt idx="1">
                  <c:v>Medicare</c:v>
                </c:pt>
                <c:pt idx="2">
                  <c:v>Private</c:v>
                </c:pt>
              </c:strCache>
            </c:strRef>
          </c:cat>
          <c:val>
            <c:numRef>
              <c:f>Sheet12!$C$8:$C$11</c:f>
              <c:numCache>
                <c:formatCode>General</c:formatCode>
                <c:ptCount val="3"/>
                <c:pt idx="0">
                  <c:v>1200</c:v>
                </c:pt>
                <c:pt idx="1">
                  <c:v>9000</c:v>
                </c:pt>
                <c:pt idx="2">
                  <c:v>17700</c:v>
                </c:pt>
              </c:numCache>
            </c:numRef>
          </c:val>
          <c:extLst>
            <c:ext xmlns:c16="http://schemas.microsoft.com/office/drawing/2014/chart" uri="{C3380CC4-5D6E-409C-BE32-E72D297353CC}">
              <c16:uniqueId val="{00000001-3DAC-46B6-8107-8B524DF93250}"/>
            </c:ext>
          </c:extLst>
        </c:ser>
        <c:ser>
          <c:idx val="2"/>
          <c:order val="2"/>
          <c:tx>
            <c:strRef>
              <c:f>Sheet12!$D$3:$D$7</c:f>
              <c:strCache>
                <c:ptCount val="1"/>
                <c:pt idx="0">
                  <c:v>2023</c:v>
                </c:pt>
              </c:strCache>
            </c:strRef>
          </c:tx>
          <c:spPr>
            <a:solidFill>
              <a:schemeClr val="accent3"/>
            </a:solidFill>
            <a:ln>
              <a:noFill/>
            </a:ln>
            <a:effectLst/>
          </c:spPr>
          <c:invertIfNegative val="0"/>
          <c:cat>
            <c:strRef>
              <c:f>Sheet12!$A$8:$A$11</c:f>
              <c:strCache>
                <c:ptCount val="3"/>
                <c:pt idx="0">
                  <c:v>Medicaid</c:v>
                </c:pt>
                <c:pt idx="1">
                  <c:v>Medicare</c:v>
                </c:pt>
                <c:pt idx="2">
                  <c:v>Private</c:v>
                </c:pt>
              </c:strCache>
            </c:strRef>
          </c:cat>
          <c:val>
            <c:numRef>
              <c:f>Sheet12!$D$8:$D$11</c:f>
              <c:numCache>
                <c:formatCode>General</c:formatCode>
                <c:ptCount val="3"/>
                <c:pt idx="0">
                  <c:v>1500</c:v>
                </c:pt>
                <c:pt idx="1">
                  <c:v>14400</c:v>
                </c:pt>
                <c:pt idx="2">
                  <c:v>15500</c:v>
                </c:pt>
              </c:numCache>
            </c:numRef>
          </c:val>
          <c:extLst>
            <c:ext xmlns:c16="http://schemas.microsoft.com/office/drawing/2014/chart" uri="{C3380CC4-5D6E-409C-BE32-E72D297353CC}">
              <c16:uniqueId val="{00000002-3DAC-46B6-8107-8B524DF93250}"/>
            </c:ext>
          </c:extLst>
        </c:ser>
        <c:ser>
          <c:idx val="3"/>
          <c:order val="3"/>
          <c:tx>
            <c:strRef>
              <c:f>Sheet12!$E$3:$E$7</c:f>
              <c:strCache>
                <c:ptCount val="1"/>
                <c:pt idx="0">
                  <c:v>2024</c:v>
                </c:pt>
              </c:strCache>
            </c:strRef>
          </c:tx>
          <c:spPr>
            <a:solidFill>
              <a:schemeClr val="accent4"/>
            </a:solidFill>
            <a:ln>
              <a:noFill/>
            </a:ln>
            <a:effectLst/>
          </c:spPr>
          <c:invertIfNegative val="0"/>
          <c:cat>
            <c:strRef>
              <c:f>Sheet12!$A$8:$A$11</c:f>
              <c:strCache>
                <c:ptCount val="3"/>
                <c:pt idx="0">
                  <c:v>Medicaid</c:v>
                </c:pt>
                <c:pt idx="1">
                  <c:v>Medicare</c:v>
                </c:pt>
                <c:pt idx="2">
                  <c:v>Private</c:v>
                </c:pt>
              </c:strCache>
            </c:strRef>
          </c:cat>
          <c:val>
            <c:numRef>
              <c:f>Sheet12!$E$8:$E$11</c:f>
              <c:numCache>
                <c:formatCode>General</c:formatCode>
                <c:ptCount val="3"/>
                <c:pt idx="0">
                  <c:v>1100</c:v>
                </c:pt>
                <c:pt idx="1">
                  <c:v>4500</c:v>
                </c:pt>
                <c:pt idx="2">
                  <c:v>4600</c:v>
                </c:pt>
              </c:numCache>
            </c:numRef>
          </c:val>
          <c:extLst>
            <c:ext xmlns:c16="http://schemas.microsoft.com/office/drawing/2014/chart" uri="{C3380CC4-5D6E-409C-BE32-E72D297353CC}">
              <c16:uniqueId val="{00000003-3DAC-46B6-8107-8B524DF93250}"/>
            </c:ext>
          </c:extLst>
        </c:ser>
        <c:dLbls>
          <c:showLegendKey val="0"/>
          <c:showVal val="0"/>
          <c:showCatName val="0"/>
          <c:showSerName val="0"/>
          <c:showPercent val="0"/>
          <c:showBubbleSize val="0"/>
        </c:dLbls>
        <c:gapWidth val="219"/>
        <c:overlap val="-27"/>
        <c:axId val="1685354912"/>
        <c:axId val="1685356352"/>
      </c:barChart>
      <c:catAx>
        <c:axId val="168535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356352"/>
        <c:crosses val="autoZero"/>
        <c:auto val="1"/>
        <c:lblAlgn val="ctr"/>
        <c:lblOffset val="100"/>
        <c:noMultiLvlLbl val="0"/>
      </c:catAx>
      <c:valAx>
        <c:axId val="1685356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35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[Project02.P1.Healthcare.Vishal Adlakha.XLSX]Sheet10!PivotTable11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Percentage of Patients with Chronic Conditions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Sheet10!$B$3</c:f>
              <c:strCache>
                <c:ptCount val="1"/>
                <c:pt idx="0">
                  <c:v>Total</c:v>
                </c:pt>
              </c:strCache>
            </c:strRef>
          </c:tx>
          <c:spPr>
            <a:solidFill>
              <a:schemeClr val="accent1"/>
            </a:solidFill>
            <a:ln>
              <a:noFill/>
            </a:ln>
            <a:effectLst/>
            <a:sp3d/>
          </c:spPr>
          <c:invertIfNegative val="0"/>
          <c:cat>
            <c:strRef>
              <c:f>Sheet10!$A$4:$A$13</c:f>
              <c:strCache>
                <c:ptCount val="9"/>
                <c:pt idx="0">
                  <c:v>High Cholesterol</c:v>
                </c:pt>
                <c:pt idx="1">
                  <c:v>Arthritis</c:v>
                </c:pt>
                <c:pt idx="2">
                  <c:v>Diabetes</c:v>
                </c:pt>
                <c:pt idx="3">
                  <c:v>Heart Disease</c:v>
                </c:pt>
                <c:pt idx="4">
                  <c:v>Obesity</c:v>
                </c:pt>
                <c:pt idx="5">
                  <c:v>Cancer</c:v>
                </c:pt>
                <c:pt idx="6">
                  <c:v>Stroke</c:v>
                </c:pt>
                <c:pt idx="7">
                  <c:v>Asthma</c:v>
                </c:pt>
                <c:pt idx="8">
                  <c:v>Hypertension</c:v>
                </c:pt>
              </c:strCache>
            </c:strRef>
          </c:cat>
          <c:val>
            <c:numRef>
              <c:f>Sheet10!$B$4:$B$13</c:f>
              <c:numCache>
                <c:formatCode>0.00%</c:formatCode>
                <c:ptCount val="9"/>
                <c:pt idx="0">
                  <c:v>0.12857142857142856</c:v>
                </c:pt>
                <c:pt idx="1">
                  <c:v>0.12857142857142856</c:v>
                </c:pt>
                <c:pt idx="2">
                  <c:v>0.12857142857142856</c:v>
                </c:pt>
                <c:pt idx="3">
                  <c:v>0.12857142857142856</c:v>
                </c:pt>
                <c:pt idx="4">
                  <c:v>0.11428571428571428</c:v>
                </c:pt>
                <c:pt idx="5">
                  <c:v>0.11428571428571428</c:v>
                </c:pt>
                <c:pt idx="6">
                  <c:v>0.11428571428571428</c:v>
                </c:pt>
                <c:pt idx="7">
                  <c:v>7.1428571428571425E-2</c:v>
                </c:pt>
                <c:pt idx="8">
                  <c:v>7.1428571428571425E-2</c:v>
                </c:pt>
              </c:numCache>
            </c:numRef>
          </c:val>
          <c:extLst>
            <c:ext xmlns:c16="http://schemas.microsoft.com/office/drawing/2014/chart" uri="{C3380CC4-5D6E-409C-BE32-E72D297353CC}">
              <c16:uniqueId val="{00000000-3F28-4CAE-8BCA-8F95491F5A2B}"/>
            </c:ext>
          </c:extLst>
        </c:ser>
        <c:dLbls>
          <c:showLegendKey val="0"/>
          <c:showVal val="0"/>
          <c:showCatName val="0"/>
          <c:showSerName val="0"/>
          <c:showPercent val="0"/>
          <c:showBubbleSize val="0"/>
        </c:dLbls>
        <c:gapWidth val="150"/>
        <c:shape val="box"/>
        <c:axId val="1878357264"/>
        <c:axId val="1878352944"/>
        <c:axId val="0"/>
      </c:bar3DChart>
      <c:catAx>
        <c:axId val="1878357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352944"/>
        <c:crosses val="autoZero"/>
        <c:auto val="1"/>
        <c:lblAlgn val="ctr"/>
        <c:lblOffset val="100"/>
        <c:noMultiLvlLbl val="0"/>
      </c:catAx>
      <c:valAx>
        <c:axId val="18783529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357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xdr:col>
      <xdr:colOff>121920</xdr:colOff>
      <xdr:row>0</xdr:row>
      <xdr:rowOff>95250</xdr:rowOff>
    </xdr:from>
    <xdr:to>
      <xdr:col>11</xdr:col>
      <xdr:colOff>426720</xdr:colOff>
      <xdr:row>15</xdr:row>
      <xdr:rowOff>45720</xdr:rowOff>
    </xdr:to>
    <xdr:graphicFrame macro="">
      <xdr:nvGraphicFramePr>
        <xdr:cNvPr id="3" name="Chart 2">
          <a:extLst>
            <a:ext uri="{FF2B5EF4-FFF2-40B4-BE49-F238E27FC236}">
              <a16:creationId xmlns:a16="http://schemas.microsoft.com/office/drawing/2014/main" id="{3B237FE8-BFD4-688A-D594-C67F14BEB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594360</xdr:colOff>
      <xdr:row>0</xdr:row>
      <xdr:rowOff>144780</xdr:rowOff>
    </xdr:from>
    <xdr:to>
      <xdr:col>14</xdr:col>
      <xdr:colOff>594360</xdr:colOff>
      <xdr:row>14</xdr:row>
      <xdr:rowOff>51435</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5C5CD87A-6E1C-5877-71BF-77D7F91709C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839200" y="144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464820</xdr:colOff>
      <xdr:row>1</xdr:row>
      <xdr:rowOff>26670</xdr:rowOff>
    </xdr:from>
    <xdr:to>
      <xdr:col>10</xdr:col>
      <xdr:colOff>160020</xdr:colOff>
      <xdr:row>16</xdr:row>
      <xdr:rowOff>26670</xdr:rowOff>
    </xdr:to>
    <xdr:graphicFrame macro="">
      <xdr:nvGraphicFramePr>
        <xdr:cNvPr id="2" name="Chart 1">
          <a:extLst>
            <a:ext uri="{FF2B5EF4-FFF2-40B4-BE49-F238E27FC236}">
              <a16:creationId xmlns:a16="http://schemas.microsoft.com/office/drawing/2014/main" id="{39205A56-A204-3D59-20E0-7978CBE8F8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480060</xdr:colOff>
      <xdr:row>1</xdr:row>
      <xdr:rowOff>68580</xdr:rowOff>
    </xdr:from>
    <xdr:to>
      <xdr:col>13</xdr:col>
      <xdr:colOff>480060</xdr:colOff>
      <xdr:row>14</xdr:row>
      <xdr:rowOff>158115</xdr:rowOff>
    </xdr:to>
    <mc:AlternateContent xmlns:mc="http://schemas.openxmlformats.org/markup-compatibility/2006" xmlns:a14="http://schemas.microsoft.com/office/drawing/2010/main">
      <mc:Choice Requires="a14">
        <xdr:graphicFrame macro="">
          <xdr:nvGraphicFramePr>
            <xdr:cNvPr id="3" name="Age">
              <a:extLst>
                <a:ext uri="{FF2B5EF4-FFF2-40B4-BE49-F238E27FC236}">
                  <a16:creationId xmlns:a16="http://schemas.microsoft.com/office/drawing/2014/main" id="{5F5AE77F-F2E4-5243-5687-B8F5935FB046}"/>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8427720" y="2514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464820</xdr:colOff>
      <xdr:row>0</xdr:row>
      <xdr:rowOff>64770</xdr:rowOff>
    </xdr:from>
    <xdr:to>
      <xdr:col>10</xdr:col>
      <xdr:colOff>160020</xdr:colOff>
      <xdr:row>15</xdr:row>
      <xdr:rowOff>64770</xdr:rowOff>
    </xdr:to>
    <xdr:graphicFrame macro="">
      <xdr:nvGraphicFramePr>
        <xdr:cNvPr id="2" name="Chart 1">
          <a:extLst>
            <a:ext uri="{FF2B5EF4-FFF2-40B4-BE49-F238E27FC236}">
              <a16:creationId xmlns:a16="http://schemas.microsoft.com/office/drawing/2014/main" id="{82AA86EE-61F4-FF75-7C09-376EEA3CEA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304800</xdr:colOff>
      <xdr:row>1</xdr:row>
      <xdr:rowOff>3810</xdr:rowOff>
    </xdr:from>
    <xdr:to>
      <xdr:col>10</xdr:col>
      <xdr:colOff>0</xdr:colOff>
      <xdr:row>16</xdr:row>
      <xdr:rowOff>3810</xdr:rowOff>
    </xdr:to>
    <xdr:graphicFrame macro="">
      <xdr:nvGraphicFramePr>
        <xdr:cNvPr id="2" name="Chart 1">
          <a:extLst>
            <a:ext uri="{FF2B5EF4-FFF2-40B4-BE49-F238E27FC236}">
              <a16:creationId xmlns:a16="http://schemas.microsoft.com/office/drawing/2014/main" id="{F79B010E-2B43-191D-E854-137EC25E6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213360</xdr:colOff>
      <xdr:row>1</xdr:row>
      <xdr:rowOff>60960</xdr:rowOff>
    </xdr:from>
    <xdr:to>
      <xdr:col>13</xdr:col>
      <xdr:colOff>213360</xdr:colOff>
      <xdr:row>14</xdr:row>
      <xdr:rowOff>150495</xdr:rowOff>
    </xdr:to>
    <mc:AlternateContent xmlns:mc="http://schemas.openxmlformats.org/markup-compatibility/2006" xmlns:a14="http://schemas.microsoft.com/office/drawing/2010/main">
      <mc:Choice Requires="a14">
        <xdr:graphicFrame macro="">
          <xdr:nvGraphicFramePr>
            <xdr:cNvPr id="3" name="Medical_Condition">
              <a:extLst>
                <a:ext uri="{FF2B5EF4-FFF2-40B4-BE49-F238E27FC236}">
                  <a16:creationId xmlns:a16="http://schemas.microsoft.com/office/drawing/2014/main" id="{CCB739AB-7A88-BE6B-4E79-1BC0B04B9DE4}"/>
                </a:ext>
              </a:extLst>
            </xdr:cNvPr>
            <xdr:cNvGraphicFramePr/>
          </xdr:nvGraphicFramePr>
          <xdr:xfrm>
            <a:off x="0" y="0"/>
            <a:ext cx="0" cy="0"/>
          </xdr:xfrm>
          <a:graphic>
            <a:graphicData uri="http://schemas.microsoft.com/office/drawing/2010/slicer">
              <sle:slicer xmlns:sle="http://schemas.microsoft.com/office/drawing/2010/slicer" name="Medical_Condition"/>
            </a:graphicData>
          </a:graphic>
        </xdr:graphicFrame>
      </mc:Choice>
      <mc:Fallback xmlns="">
        <xdr:sp macro="" textlink="">
          <xdr:nvSpPr>
            <xdr:cNvPr id="0" name=""/>
            <xdr:cNvSpPr>
              <a:spLocks noTextEdit="1"/>
            </xdr:cNvSpPr>
          </xdr:nvSpPr>
          <xdr:spPr>
            <a:xfrm>
              <a:off x="8183880" y="243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571500</xdr:colOff>
      <xdr:row>0</xdr:row>
      <xdr:rowOff>102870</xdr:rowOff>
    </xdr:from>
    <xdr:to>
      <xdr:col>10</xdr:col>
      <xdr:colOff>266700</xdr:colOff>
      <xdr:row>15</xdr:row>
      <xdr:rowOff>102870</xdr:rowOff>
    </xdr:to>
    <xdr:graphicFrame macro="">
      <xdr:nvGraphicFramePr>
        <xdr:cNvPr id="2" name="Chart 1">
          <a:extLst>
            <a:ext uri="{FF2B5EF4-FFF2-40B4-BE49-F238E27FC236}">
              <a16:creationId xmlns:a16="http://schemas.microsoft.com/office/drawing/2014/main" id="{1F2E2B75-38C6-4384-E98E-A1C29FBDA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396240</xdr:colOff>
      <xdr:row>0</xdr:row>
      <xdr:rowOff>0</xdr:rowOff>
    </xdr:from>
    <xdr:to>
      <xdr:col>12</xdr:col>
      <xdr:colOff>220980</xdr:colOff>
      <xdr:row>15</xdr:row>
      <xdr:rowOff>0</xdr:rowOff>
    </xdr:to>
    <xdr:graphicFrame macro="">
      <xdr:nvGraphicFramePr>
        <xdr:cNvPr id="2" name="Chart 1">
          <a:extLst>
            <a:ext uri="{FF2B5EF4-FFF2-40B4-BE49-F238E27FC236}">
              <a16:creationId xmlns:a16="http://schemas.microsoft.com/office/drawing/2014/main" id="{462F4FED-8AC1-C737-F605-A92C2D379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266700</xdr:colOff>
      <xdr:row>0</xdr:row>
      <xdr:rowOff>106680</xdr:rowOff>
    </xdr:from>
    <xdr:to>
      <xdr:col>11</xdr:col>
      <xdr:colOff>556260</xdr:colOff>
      <xdr:row>15</xdr:row>
      <xdr:rowOff>106680</xdr:rowOff>
    </xdr:to>
    <xdr:graphicFrame macro="">
      <xdr:nvGraphicFramePr>
        <xdr:cNvPr id="2" name="Chart 1">
          <a:extLst>
            <a:ext uri="{FF2B5EF4-FFF2-40B4-BE49-F238E27FC236}">
              <a16:creationId xmlns:a16="http://schemas.microsoft.com/office/drawing/2014/main" id="{30E75E4E-9DB3-2369-8970-2F245E419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30480</xdr:colOff>
      <xdr:row>0</xdr:row>
      <xdr:rowOff>106680</xdr:rowOff>
    </xdr:from>
    <xdr:to>
      <xdr:col>14</xdr:col>
      <xdr:colOff>91440</xdr:colOff>
      <xdr:row>15</xdr:row>
      <xdr:rowOff>60960</xdr:rowOff>
    </xdr:to>
    <mc:AlternateContent xmlns:mc="http://schemas.openxmlformats.org/markup-compatibility/2006" xmlns:a14="http://schemas.microsoft.com/office/drawing/2010/main">
      <mc:Choice Requires="a14">
        <xdr:graphicFrame macro="">
          <xdr:nvGraphicFramePr>
            <xdr:cNvPr id="3" name="Insurance_Type">
              <a:extLst>
                <a:ext uri="{FF2B5EF4-FFF2-40B4-BE49-F238E27FC236}">
                  <a16:creationId xmlns:a16="http://schemas.microsoft.com/office/drawing/2014/main" id="{9A249392-A1AB-6B0B-6CF6-81E3AB131B20}"/>
                </a:ext>
              </a:extLst>
            </xdr:cNvPr>
            <xdr:cNvGraphicFramePr/>
          </xdr:nvGraphicFramePr>
          <xdr:xfrm>
            <a:off x="0" y="0"/>
            <a:ext cx="0" cy="0"/>
          </xdr:xfrm>
          <a:graphic>
            <a:graphicData uri="http://schemas.microsoft.com/office/drawing/2010/slicer">
              <sle:slicer xmlns:sle="http://schemas.microsoft.com/office/drawing/2010/slicer" name="Insurance_Type"/>
            </a:graphicData>
          </a:graphic>
        </xdr:graphicFrame>
      </mc:Choice>
      <mc:Fallback xmlns="">
        <xdr:sp macro="" textlink="">
          <xdr:nvSpPr>
            <xdr:cNvPr id="0" name=""/>
            <xdr:cNvSpPr>
              <a:spLocks noTextEdit="1"/>
            </xdr:cNvSpPr>
          </xdr:nvSpPr>
          <xdr:spPr>
            <a:xfrm>
              <a:off x="9883140" y="106680"/>
              <a:ext cx="1280160" cy="2697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259080</xdr:colOff>
      <xdr:row>0</xdr:row>
      <xdr:rowOff>26670</xdr:rowOff>
    </xdr:from>
    <xdr:to>
      <xdr:col>12</xdr:col>
      <xdr:colOff>320040</xdr:colOff>
      <xdr:row>18</xdr:row>
      <xdr:rowOff>121920</xdr:rowOff>
    </xdr:to>
    <xdr:graphicFrame macro="">
      <xdr:nvGraphicFramePr>
        <xdr:cNvPr id="3" name="Chart 2">
          <a:extLst>
            <a:ext uri="{FF2B5EF4-FFF2-40B4-BE49-F238E27FC236}">
              <a16:creationId xmlns:a16="http://schemas.microsoft.com/office/drawing/2014/main" id="{08A18F42-4FFD-7F68-28F7-34FAF3B8AE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236220</xdr:colOff>
      <xdr:row>0</xdr:row>
      <xdr:rowOff>118110</xdr:rowOff>
    </xdr:from>
    <xdr:to>
      <xdr:col>10</xdr:col>
      <xdr:colOff>541020</xdr:colOff>
      <xdr:row>15</xdr:row>
      <xdr:rowOff>118110</xdr:rowOff>
    </xdr:to>
    <xdr:graphicFrame macro="">
      <xdr:nvGraphicFramePr>
        <xdr:cNvPr id="2" name="Chart 1">
          <a:extLst>
            <a:ext uri="{FF2B5EF4-FFF2-40B4-BE49-F238E27FC236}">
              <a16:creationId xmlns:a16="http://schemas.microsoft.com/office/drawing/2014/main" id="{20FFE08E-7869-2ECA-30F8-58B6A4161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396240</xdr:colOff>
      <xdr:row>0</xdr:row>
      <xdr:rowOff>133350</xdr:rowOff>
    </xdr:from>
    <xdr:to>
      <xdr:col>10</xdr:col>
      <xdr:colOff>396240</xdr:colOff>
      <xdr:row>15</xdr:row>
      <xdr:rowOff>133350</xdr:rowOff>
    </xdr:to>
    <xdr:graphicFrame macro="">
      <xdr:nvGraphicFramePr>
        <xdr:cNvPr id="2" name="Chart 1">
          <a:extLst>
            <a:ext uri="{FF2B5EF4-FFF2-40B4-BE49-F238E27FC236}">
              <a16:creationId xmlns:a16="http://schemas.microsoft.com/office/drawing/2014/main" id="{5DE32A3C-04E6-9C95-1153-9DBE3A694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182880</xdr:colOff>
      <xdr:row>0</xdr:row>
      <xdr:rowOff>57150</xdr:rowOff>
    </xdr:from>
    <xdr:to>
      <xdr:col>11</xdr:col>
      <xdr:colOff>487680</xdr:colOff>
      <xdr:row>15</xdr:row>
      <xdr:rowOff>57150</xdr:rowOff>
    </xdr:to>
    <xdr:graphicFrame macro="">
      <xdr:nvGraphicFramePr>
        <xdr:cNvPr id="2" name="Chart 1">
          <a:extLst>
            <a:ext uri="{FF2B5EF4-FFF2-40B4-BE49-F238E27FC236}">
              <a16:creationId xmlns:a16="http://schemas.microsoft.com/office/drawing/2014/main" id="{C634E13D-5289-B537-1CB1-29FBB8FA04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449580</xdr:colOff>
      <xdr:row>15</xdr:row>
      <xdr:rowOff>152400</xdr:rowOff>
    </xdr:from>
    <xdr:to>
      <xdr:col>9</xdr:col>
      <xdr:colOff>129540</xdr:colOff>
      <xdr:row>23</xdr:row>
      <xdr:rowOff>60960</xdr:rowOff>
    </xdr:to>
    <mc:AlternateContent xmlns:mc="http://schemas.openxmlformats.org/markup-compatibility/2006" xmlns:tsle="http://schemas.microsoft.com/office/drawing/2012/timeslicer">
      <mc:Choice Requires="tsle">
        <xdr:graphicFrame macro="">
          <xdr:nvGraphicFramePr>
            <xdr:cNvPr id="3" name="Admission_Date">
              <a:extLst>
                <a:ext uri="{FF2B5EF4-FFF2-40B4-BE49-F238E27FC236}">
                  <a16:creationId xmlns:a16="http://schemas.microsoft.com/office/drawing/2014/main" id="{8BF7F1FE-E6C7-351F-57BF-CF0D9704F335}"/>
                </a:ext>
              </a:extLst>
            </xdr:cNvPr>
            <xdr:cNvGraphicFramePr/>
          </xdr:nvGraphicFramePr>
          <xdr:xfrm>
            <a:off x="0" y="0"/>
            <a:ext cx="0" cy="0"/>
          </xdr:xfrm>
          <a:graphic>
            <a:graphicData uri="http://schemas.microsoft.com/office/drawing/2012/timeslicer">
              <tsle:timeslicer name="Admission_Date"/>
            </a:graphicData>
          </a:graphic>
        </xdr:graphicFrame>
      </mc:Choice>
      <mc:Fallback xmlns="">
        <xdr:sp macro="" textlink="">
          <xdr:nvSpPr>
            <xdr:cNvPr id="0" name=""/>
            <xdr:cNvSpPr>
              <a:spLocks noTextEdit="1"/>
            </xdr:cNvSpPr>
          </xdr:nvSpPr>
          <xdr:spPr>
            <a:xfrm>
              <a:off x="4465320" y="289560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6</xdr:col>
      <xdr:colOff>243840</xdr:colOff>
      <xdr:row>0</xdr:row>
      <xdr:rowOff>125730</xdr:rowOff>
    </xdr:from>
    <xdr:to>
      <xdr:col>13</xdr:col>
      <xdr:colOff>190500</xdr:colOff>
      <xdr:row>15</xdr:row>
      <xdr:rowOff>125730</xdr:rowOff>
    </xdr:to>
    <xdr:graphicFrame macro="">
      <xdr:nvGraphicFramePr>
        <xdr:cNvPr id="2" name="Chart 1">
          <a:extLst>
            <a:ext uri="{FF2B5EF4-FFF2-40B4-BE49-F238E27FC236}">
              <a16:creationId xmlns:a16="http://schemas.microsoft.com/office/drawing/2014/main" id="{5CA669D8-E9F1-0EB5-2D36-8813F07BF2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274320</xdr:colOff>
      <xdr:row>11</xdr:row>
      <xdr:rowOff>30480</xdr:rowOff>
    </xdr:to>
    <xdr:graphicFrame macro="">
      <xdr:nvGraphicFramePr>
        <xdr:cNvPr id="6" name="Chart 5">
          <a:extLst>
            <a:ext uri="{FF2B5EF4-FFF2-40B4-BE49-F238E27FC236}">
              <a16:creationId xmlns:a16="http://schemas.microsoft.com/office/drawing/2014/main" id="{40F7C453-EBC5-4608-BE61-2851FAD5E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0</xdr:row>
      <xdr:rowOff>1</xdr:rowOff>
    </xdr:from>
    <xdr:to>
      <xdr:col>4</xdr:col>
      <xdr:colOff>289560</xdr:colOff>
      <xdr:row>11</xdr:row>
      <xdr:rowOff>38101</xdr:rowOff>
    </xdr:to>
    <mc:AlternateContent xmlns:mc="http://schemas.openxmlformats.org/markup-compatibility/2006" xmlns:a14="http://schemas.microsoft.com/office/drawing/2010/main">
      <mc:Choice Requires="a14">
        <xdr:graphicFrame macro="">
          <xdr:nvGraphicFramePr>
            <xdr:cNvPr id="7" name="Gender 1">
              <a:extLst>
                <a:ext uri="{FF2B5EF4-FFF2-40B4-BE49-F238E27FC236}">
                  <a16:creationId xmlns:a16="http://schemas.microsoft.com/office/drawing/2014/main" id="{A2002868-A4E2-41C2-8A92-3F56E67A49E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833563" y="1"/>
              <a:ext cx="900747" cy="2046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449580</xdr:colOff>
      <xdr:row>0</xdr:row>
      <xdr:rowOff>53340</xdr:rowOff>
    </xdr:from>
    <xdr:to>
      <xdr:col>8</xdr:col>
      <xdr:colOff>381000</xdr:colOff>
      <xdr:row>11</xdr:row>
      <xdr:rowOff>53340</xdr:rowOff>
    </xdr:to>
    <xdr:graphicFrame macro="">
      <xdr:nvGraphicFramePr>
        <xdr:cNvPr id="8" name="Chart 7">
          <a:extLst>
            <a:ext uri="{FF2B5EF4-FFF2-40B4-BE49-F238E27FC236}">
              <a16:creationId xmlns:a16="http://schemas.microsoft.com/office/drawing/2014/main" id="{0D2B5F90-07CA-4274-86E1-2630F6837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0</xdr:row>
      <xdr:rowOff>1</xdr:rowOff>
    </xdr:from>
    <xdr:to>
      <xdr:col>11</xdr:col>
      <xdr:colOff>45720</xdr:colOff>
      <xdr:row>11</xdr:row>
      <xdr:rowOff>76201</xdr:rowOff>
    </xdr:to>
    <mc:AlternateContent xmlns:mc="http://schemas.openxmlformats.org/markup-compatibility/2006" xmlns:a14="http://schemas.microsoft.com/office/drawing/2010/main">
      <mc:Choice Requires="a14">
        <xdr:graphicFrame macro="">
          <xdr:nvGraphicFramePr>
            <xdr:cNvPr id="9" name="Age 1">
              <a:extLst>
                <a:ext uri="{FF2B5EF4-FFF2-40B4-BE49-F238E27FC236}">
                  <a16:creationId xmlns:a16="http://schemas.microsoft.com/office/drawing/2014/main" id="{932E2EFE-1C1E-468F-B2AA-200ECC34043A}"/>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5500688" y="1"/>
              <a:ext cx="1268095" cy="20843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220980</xdr:colOff>
      <xdr:row>0</xdr:row>
      <xdr:rowOff>45720</xdr:rowOff>
    </xdr:from>
    <xdr:to>
      <xdr:col>15</xdr:col>
      <xdr:colOff>464820</xdr:colOff>
      <xdr:row>11</xdr:row>
      <xdr:rowOff>22860</xdr:rowOff>
    </xdr:to>
    <xdr:graphicFrame macro="">
      <xdr:nvGraphicFramePr>
        <xdr:cNvPr id="10" name="Chart 9">
          <a:extLst>
            <a:ext uri="{FF2B5EF4-FFF2-40B4-BE49-F238E27FC236}">
              <a16:creationId xmlns:a16="http://schemas.microsoft.com/office/drawing/2014/main" id="{7F9320F5-622D-4A0D-8138-03A3E69E6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0</xdr:colOff>
      <xdr:row>0</xdr:row>
      <xdr:rowOff>1</xdr:rowOff>
    </xdr:from>
    <xdr:to>
      <xdr:col>19</xdr:col>
      <xdr:colOff>0</xdr:colOff>
      <xdr:row>11</xdr:row>
      <xdr:rowOff>15241</xdr:rowOff>
    </xdr:to>
    <mc:AlternateContent xmlns:mc="http://schemas.openxmlformats.org/markup-compatibility/2006" xmlns:a14="http://schemas.microsoft.com/office/drawing/2010/main">
      <mc:Choice Requires="a14">
        <xdr:graphicFrame macro="">
          <xdr:nvGraphicFramePr>
            <xdr:cNvPr id="11" name="Medical_Condition 1">
              <a:extLst>
                <a:ext uri="{FF2B5EF4-FFF2-40B4-BE49-F238E27FC236}">
                  <a16:creationId xmlns:a16="http://schemas.microsoft.com/office/drawing/2014/main" id="{CA3F6BBA-B89C-4465-ACD8-A70281AACA90}"/>
                </a:ext>
              </a:extLst>
            </xdr:cNvPr>
            <xdr:cNvGraphicFramePr/>
          </xdr:nvGraphicFramePr>
          <xdr:xfrm>
            <a:off x="0" y="0"/>
            <a:ext cx="0" cy="0"/>
          </xdr:xfrm>
          <a:graphic>
            <a:graphicData uri="http://schemas.microsoft.com/office/drawing/2010/slicer">
              <sle:slicer xmlns:sle="http://schemas.microsoft.com/office/drawing/2010/slicer" name="Medical_Condition 1"/>
            </a:graphicData>
          </a:graphic>
        </xdr:graphicFrame>
      </mc:Choice>
      <mc:Fallback xmlns="">
        <xdr:sp macro="" textlink="">
          <xdr:nvSpPr>
            <xdr:cNvPr id="0" name=""/>
            <xdr:cNvSpPr>
              <a:spLocks noTextEdit="1"/>
            </xdr:cNvSpPr>
          </xdr:nvSpPr>
          <xdr:spPr>
            <a:xfrm>
              <a:off x="9779000" y="1"/>
              <a:ext cx="1833563" cy="20234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22860</xdr:colOff>
      <xdr:row>0</xdr:row>
      <xdr:rowOff>0</xdr:rowOff>
    </xdr:from>
    <xdr:to>
      <xdr:col>23</xdr:col>
      <xdr:colOff>114300</xdr:colOff>
      <xdr:row>10</xdr:row>
      <xdr:rowOff>175260</xdr:rowOff>
    </xdr:to>
    <xdr:graphicFrame macro="">
      <xdr:nvGraphicFramePr>
        <xdr:cNvPr id="12" name="Chart 11">
          <a:extLst>
            <a:ext uri="{FF2B5EF4-FFF2-40B4-BE49-F238E27FC236}">
              <a16:creationId xmlns:a16="http://schemas.microsoft.com/office/drawing/2014/main" id="{7DBA6AF0-018C-4195-9E99-6E54E982C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12</xdr:row>
      <xdr:rowOff>0</xdr:rowOff>
    </xdr:from>
    <xdr:to>
      <xdr:col>3</xdr:col>
      <xdr:colOff>45720</xdr:colOff>
      <xdr:row>25</xdr:row>
      <xdr:rowOff>76200</xdr:rowOff>
    </xdr:to>
    <xdr:graphicFrame macro="">
      <xdr:nvGraphicFramePr>
        <xdr:cNvPr id="13" name="Chart 12">
          <a:extLst>
            <a:ext uri="{FF2B5EF4-FFF2-40B4-BE49-F238E27FC236}">
              <a16:creationId xmlns:a16="http://schemas.microsoft.com/office/drawing/2014/main" id="{20C2FE90-5800-4A9E-AA02-F6432A47D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0</xdr:colOff>
      <xdr:row>12</xdr:row>
      <xdr:rowOff>0</xdr:rowOff>
    </xdr:from>
    <xdr:to>
      <xdr:col>4</xdr:col>
      <xdr:colOff>388620</xdr:colOff>
      <xdr:row>25</xdr:row>
      <xdr:rowOff>106680</xdr:rowOff>
    </xdr:to>
    <mc:AlternateContent xmlns:mc="http://schemas.openxmlformats.org/markup-compatibility/2006" xmlns:a14="http://schemas.microsoft.com/office/drawing/2010/main">
      <mc:Choice Requires="a14">
        <xdr:graphicFrame macro="">
          <xdr:nvGraphicFramePr>
            <xdr:cNvPr id="14" name="Insurance_Type 1">
              <a:extLst>
                <a:ext uri="{FF2B5EF4-FFF2-40B4-BE49-F238E27FC236}">
                  <a16:creationId xmlns:a16="http://schemas.microsoft.com/office/drawing/2014/main" id="{9A7ED9C7-F31E-4C7F-ADC5-E30F3F9B55D3}"/>
                </a:ext>
              </a:extLst>
            </xdr:cNvPr>
            <xdr:cNvGraphicFramePr/>
          </xdr:nvGraphicFramePr>
          <xdr:xfrm>
            <a:off x="0" y="0"/>
            <a:ext cx="0" cy="0"/>
          </xdr:xfrm>
          <a:graphic>
            <a:graphicData uri="http://schemas.microsoft.com/office/drawing/2010/slicer">
              <sle:slicer xmlns:sle="http://schemas.microsoft.com/office/drawing/2010/slicer" name="Insurance_Type 1"/>
            </a:graphicData>
          </a:graphic>
        </xdr:graphicFrame>
      </mc:Choice>
      <mc:Fallback xmlns="">
        <xdr:sp macro="" textlink="">
          <xdr:nvSpPr>
            <xdr:cNvPr id="0" name=""/>
            <xdr:cNvSpPr>
              <a:spLocks noTextEdit="1"/>
            </xdr:cNvSpPr>
          </xdr:nvSpPr>
          <xdr:spPr>
            <a:xfrm>
              <a:off x="1833563" y="2190750"/>
              <a:ext cx="999807" cy="2479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434340</xdr:colOff>
      <xdr:row>11</xdr:row>
      <xdr:rowOff>160020</xdr:rowOff>
    </xdr:from>
    <xdr:to>
      <xdr:col>8</xdr:col>
      <xdr:colOff>426720</xdr:colOff>
      <xdr:row>25</xdr:row>
      <xdr:rowOff>76200</xdr:rowOff>
    </xdr:to>
    <xdr:graphicFrame macro="">
      <xdr:nvGraphicFramePr>
        <xdr:cNvPr id="15" name="Chart 14">
          <a:extLst>
            <a:ext uri="{FF2B5EF4-FFF2-40B4-BE49-F238E27FC236}">
              <a16:creationId xmlns:a16="http://schemas.microsoft.com/office/drawing/2014/main" id="{4C907003-17A0-4755-A3F9-684FA1D5C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0</xdr:colOff>
      <xdr:row>13</xdr:row>
      <xdr:rowOff>0</xdr:rowOff>
    </xdr:from>
    <xdr:to>
      <xdr:col>12</xdr:col>
      <xdr:colOff>468313</xdr:colOff>
      <xdr:row>20</xdr:row>
      <xdr:rowOff>95250</xdr:rowOff>
    </xdr:to>
    <mc:AlternateContent xmlns:mc="http://schemas.openxmlformats.org/markup-compatibility/2006" xmlns:tsle="http://schemas.microsoft.com/office/drawing/2012/timeslicer">
      <mc:Choice Requires="tsle">
        <xdr:graphicFrame macro="">
          <xdr:nvGraphicFramePr>
            <xdr:cNvPr id="16" name="Admission_Date 1">
              <a:extLst>
                <a:ext uri="{FF2B5EF4-FFF2-40B4-BE49-F238E27FC236}">
                  <a16:creationId xmlns:a16="http://schemas.microsoft.com/office/drawing/2014/main" id="{2756FCA5-3724-41E0-B3AB-B7678019F040}"/>
                </a:ext>
              </a:extLst>
            </xdr:cNvPr>
            <xdr:cNvGraphicFramePr/>
          </xdr:nvGraphicFramePr>
          <xdr:xfrm>
            <a:off x="0" y="0"/>
            <a:ext cx="0" cy="0"/>
          </xdr:xfrm>
          <a:graphic>
            <a:graphicData uri="http://schemas.microsoft.com/office/drawing/2012/timeslicer">
              <tsle:timeslicer name="Admission_Date 1"/>
            </a:graphicData>
          </a:graphic>
        </xdr:graphicFrame>
      </mc:Choice>
      <mc:Fallback xmlns="">
        <xdr:sp macro="" textlink="">
          <xdr:nvSpPr>
            <xdr:cNvPr id="0" name=""/>
            <xdr:cNvSpPr>
              <a:spLocks noTextEdit="1"/>
            </xdr:cNvSpPr>
          </xdr:nvSpPr>
          <xdr:spPr>
            <a:xfrm>
              <a:off x="5500688" y="2373313"/>
              <a:ext cx="2301875" cy="137318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13</xdr:col>
      <xdr:colOff>0</xdr:colOff>
      <xdr:row>13</xdr:row>
      <xdr:rowOff>0</xdr:rowOff>
    </xdr:from>
    <xdr:to>
      <xdr:col>18</xdr:col>
      <xdr:colOff>349250</xdr:colOff>
      <xdr:row>24</xdr:row>
      <xdr:rowOff>23813</xdr:rowOff>
    </xdr:to>
    <xdr:graphicFrame macro="">
      <xdr:nvGraphicFramePr>
        <xdr:cNvPr id="17" name="Chart 16">
          <a:extLst>
            <a:ext uri="{FF2B5EF4-FFF2-40B4-BE49-F238E27FC236}">
              <a16:creationId xmlns:a16="http://schemas.microsoft.com/office/drawing/2014/main" id="{AC6436D1-811C-4916-9C48-9E17353CC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71438</xdr:colOff>
      <xdr:row>13</xdr:row>
      <xdr:rowOff>0</xdr:rowOff>
    </xdr:from>
    <xdr:to>
      <xdr:col>24</xdr:col>
      <xdr:colOff>55563</xdr:colOff>
      <xdr:row>24</xdr:row>
      <xdr:rowOff>31750</xdr:rowOff>
    </xdr:to>
    <xdr:graphicFrame macro="">
      <xdr:nvGraphicFramePr>
        <xdr:cNvPr id="18" name="Chart 17">
          <a:extLst>
            <a:ext uri="{FF2B5EF4-FFF2-40B4-BE49-F238E27FC236}">
              <a16:creationId xmlns:a16="http://schemas.microsoft.com/office/drawing/2014/main" id="{98202009-8A63-4E0F-A4FB-6E9890413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398.983482407406" createdVersion="8" refreshedVersion="8" minRefreshableVersion="3" recordCount="70" xr:uid="{49784B82-EEA4-40C2-8CD7-682005DCE133}">
  <cacheSource type="worksheet">
    <worksheetSource ref="A1:G71" sheet="DataSet"/>
  </cacheSource>
  <cacheFields count="10">
    <cacheField name="Patient_ID" numFmtId="0">
      <sharedItems containsSemiMixedTypes="0" containsString="0" containsNumber="1" containsInteger="1" minValue="1" maxValue="70" count="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sharedItems>
    </cacheField>
    <cacheField name="Admission_Date" numFmtId="14">
      <sharedItems containsSemiMixedTypes="0" containsNonDate="0" containsDate="1" containsString="0" minDate="2021-01-01T00:00:00" maxDate="2024-05-14T00:00:00" count="70">
        <d v="2021-01-01T00:00:00"/>
        <d v="2021-01-02T00:00:00"/>
        <d v="2021-01-03T00:00:00"/>
        <d v="2021-01-04T00:00:00"/>
        <d v="2021-01-05T00:00:00"/>
        <d v="2021-01-06T00:00:00"/>
        <d v="2021-01-07T00:00:00"/>
        <d v="2021-01-08T00:00:00"/>
        <d v="2021-01-09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4-05-04T00:00:00"/>
        <d v="2024-05-05T00:00:00"/>
        <d v="2024-05-06T00:00:00"/>
        <d v="2024-05-07T00:00:00"/>
        <d v="2024-05-08T00:00:00"/>
        <d v="2024-05-09T00:00:00"/>
        <d v="2024-05-10T00:00:00"/>
        <d v="2024-05-11T00:00:00"/>
        <d v="2024-05-12T00:00:00"/>
        <d v="2024-05-13T00:00:00"/>
      </sharedItems>
      <fieldGroup par="9"/>
    </cacheField>
    <cacheField name="Gender" numFmtId="0">
      <sharedItems count="2">
        <s v="Male"/>
        <s v="Female"/>
      </sharedItems>
    </cacheField>
    <cacheField name="Age" numFmtId="0">
      <sharedItems containsSemiMixedTypes="0" containsString="0" containsNumber="1" containsInteger="1" minValue="28" maxValue="80" count="20">
        <n v="45"/>
        <n v="32"/>
        <n v="55"/>
        <n v="68"/>
        <n v="40"/>
        <n v="75"/>
        <n v="28"/>
        <n v="62"/>
        <n v="48"/>
        <n v="50"/>
        <n v="65"/>
        <n v="38"/>
        <n v="72"/>
        <n v="30"/>
        <n v="58"/>
        <n v="42"/>
        <n v="70"/>
        <n v="35"/>
        <n v="80"/>
        <n v="60"/>
      </sharedItems>
      <fieldGroup base="3">
        <rangePr startNum="28" endNum="80" groupInterval="10"/>
        <groupItems count="8">
          <s v="&lt;28"/>
          <s v="28-37"/>
          <s v="38-47"/>
          <s v="48-57"/>
          <s v="58-67"/>
          <s v="68-77"/>
          <s v="78-87"/>
          <s v="&gt;88"/>
        </groupItems>
      </fieldGroup>
    </cacheField>
    <cacheField name="Insurance_Type" numFmtId="0">
      <sharedItems count="3">
        <s v="Private"/>
        <s v="Medicare"/>
        <s v="Medicaid"/>
      </sharedItems>
    </cacheField>
    <cacheField name="Medical_Condition" numFmtId="0">
      <sharedItems count="9">
        <s v="Hypertension"/>
        <s v="Diabetes"/>
        <s v="Arthritis"/>
        <s v="Heart Disease"/>
        <s v="High Cholesterol"/>
        <s v="Stroke"/>
        <s v="Asthma"/>
        <s v="Cancer"/>
        <s v="Obesity"/>
      </sharedItems>
    </cacheField>
    <cacheField name="Treatment_Cost" numFmtId="0">
      <sharedItems containsSemiMixedTypes="0" containsString="0" containsNumber="1" containsInteger="1" minValue="300" maxValue="2500" count="9">
        <n v="500"/>
        <n v="700"/>
        <n v="1000"/>
        <n v="1500"/>
        <n v="300"/>
        <n v="2000"/>
        <n v="600"/>
        <n v="2500"/>
        <n v="800"/>
      </sharedItems>
    </cacheField>
    <cacheField name="Months (Admission_Date)" numFmtId="0" databaseField="0">
      <fieldGroup base="1">
        <rangePr groupBy="months" startDate="2021-01-01T00:00:00" endDate="2024-05-14T00:00:00"/>
        <groupItems count="14">
          <s v="&lt;1/1/2021"/>
          <s v="Jan"/>
          <s v="Feb"/>
          <s v="Mar"/>
          <s v="Apr"/>
          <s v="May"/>
          <s v="Jun"/>
          <s v="Jul"/>
          <s v="Aug"/>
          <s v="Sep"/>
          <s v="Oct"/>
          <s v="Nov"/>
          <s v="Dec"/>
          <s v="&gt;5/14/2024"/>
        </groupItems>
      </fieldGroup>
    </cacheField>
    <cacheField name="Quarters (Admission_Date)" numFmtId="0" databaseField="0">
      <fieldGroup base="1">
        <rangePr groupBy="quarters" startDate="2021-01-01T00:00:00" endDate="2024-05-14T00:00:00"/>
        <groupItems count="6">
          <s v="&lt;1/1/2021"/>
          <s v="Qtr1"/>
          <s v="Qtr2"/>
          <s v="Qtr3"/>
          <s v="Qtr4"/>
          <s v="&gt;5/14/2024"/>
        </groupItems>
      </fieldGroup>
    </cacheField>
    <cacheField name="Years (Admission_Date)" numFmtId="0" databaseField="0">
      <fieldGroup base="1">
        <rangePr groupBy="years" startDate="2021-01-01T00:00:00" endDate="2024-05-14T00:00:00"/>
        <groupItems count="6">
          <s v="&lt;1/1/2021"/>
          <s v="2021"/>
          <s v="2022"/>
          <s v="2023"/>
          <s v="2024"/>
          <s v="&gt;5/14/2024"/>
        </groupItems>
      </fieldGroup>
    </cacheField>
  </cacheFields>
  <extLst>
    <ext xmlns:x14="http://schemas.microsoft.com/office/spreadsheetml/2009/9/main" uri="{725AE2AE-9491-48be-B2B4-4EB974FC3084}">
      <x14:pivotCacheDefinition pivotCacheId="20028117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x v="0"/>
    <x v="0"/>
    <x v="0"/>
    <x v="0"/>
    <x v="0"/>
    <x v="0"/>
  </r>
  <r>
    <x v="1"/>
    <x v="1"/>
    <x v="1"/>
    <x v="1"/>
    <x v="1"/>
    <x v="1"/>
    <x v="1"/>
  </r>
  <r>
    <x v="2"/>
    <x v="2"/>
    <x v="1"/>
    <x v="2"/>
    <x v="0"/>
    <x v="2"/>
    <x v="2"/>
  </r>
  <r>
    <x v="3"/>
    <x v="3"/>
    <x v="0"/>
    <x v="3"/>
    <x v="1"/>
    <x v="3"/>
    <x v="3"/>
  </r>
  <r>
    <x v="4"/>
    <x v="4"/>
    <x v="1"/>
    <x v="4"/>
    <x v="0"/>
    <x v="4"/>
    <x v="4"/>
  </r>
  <r>
    <x v="5"/>
    <x v="5"/>
    <x v="0"/>
    <x v="5"/>
    <x v="1"/>
    <x v="5"/>
    <x v="5"/>
  </r>
  <r>
    <x v="6"/>
    <x v="6"/>
    <x v="1"/>
    <x v="6"/>
    <x v="2"/>
    <x v="6"/>
    <x v="6"/>
  </r>
  <r>
    <x v="7"/>
    <x v="7"/>
    <x v="0"/>
    <x v="7"/>
    <x v="0"/>
    <x v="7"/>
    <x v="7"/>
  </r>
  <r>
    <x v="8"/>
    <x v="8"/>
    <x v="1"/>
    <x v="8"/>
    <x v="1"/>
    <x v="8"/>
    <x v="8"/>
  </r>
  <r>
    <x v="9"/>
    <x v="9"/>
    <x v="0"/>
    <x v="9"/>
    <x v="0"/>
    <x v="1"/>
    <x v="1"/>
  </r>
  <r>
    <x v="10"/>
    <x v="10"/>
    <x v="1"/>
    <x v="10"/>
    <x v="1"/>
    <x v="2"/>
    <x v="2"/>
  </r>
  <r>
    <x v="11"/>
    <x v="11"/>
    <x v="0"/>
    <x v="2"/>
    <x v="0"/>
    <x v="3"/>
    <x v="3"/>
  </r>
  <r>
    <x v="12"/>
    <x v="12"/>
    <x v="1"/>
    <x v="11"/>
    <x v="2"/>
    <x v="4"/>
    <x v="4"/>
  </r>
  <r>
    <x v="13"/>
    <x v="13"/>
    <x v="0"/>
    <x v="12"/>
    <x v="0"/>
    <x v="5"/>
    <x v="5"/>
  </r>
  <r>
    <x v="14"/>
    <x v="14"/>
    <x v="1"/>
    <x v="13"/>
    <x v="1"/>
    <x v="0"/>
    <x v="0"/>
  </r>
  <r>
    <x v="15"/>
    <x v="15"/>
    <x v="0"/>
    <x v="14"/>
    <x v="0"/>
    <x v="7"/>
    <x v="7"/>
  </r>
  <r>
    <x v="16"/>
    <x v="16"/>
    <x v="1"/>
    <x v="15"/>
    <x v="1"/>
    <x v="1"/>
    <x v="1"/>
  </r>
  <r>
    <x v="17"/>
    <x v="17"/>
    <x v="0"/>
    <x v="16"/>
    <x v="1"/>
    <x v="2"/>
    <x v="2"/>
  </r>
  <r>
    <x v="18"/>
    <x v="18"/>
    <x v="1"/>
    <x v="17"/>
    <x v="0"/>
    <x v="3"/>
    <x v="3"/>
  </r>
  <r>
    <x v="19"/>
    <x v="19"/>
    <x v="0"/>
    <x v="18"/>
    <x v="1"/>
    <x v="8"/>
    <x v="8"/>
  </r>
  <r>
    <x v="20"/>
    <x v="20"/>
    <x v="1"/>
    <x v="0"/>
    <x v="2"/>
    <x v="6"/>
    <x v="6"/>
  </r>
  <r>
    <x v="21"/>
    <x v="21"/>
    <x v="0"/>
    <x v="19"/>
    <x v="0"/>
    <x v="4"/>
    <x v="4"/>
  </r>
  <r>
    <x v="22"/>
    <x v="22"/>
    <x v="1"/>
    <x v="9"/>
    <x v="1"/>
    <x v="5"/>
    <x v="5"/>
  </r>
  <r>
    <x v="23"/>
    <x v="23"/>
    <x v="0"/>
    <x v="10"/>
    <x v="0"/>
    <x v="7"/>
    <x v="7"/>
  </r>
  <r>
    <x v="24"/>
    <x v="24"/>
    <x v="1"/>
    <x v="4"/>
    <x v="1"/>
    <x v="8"/>
    <x v="8"/>
  </r>
  <r>
    <x v="25"/>
    <x v="25"/>
    <x v="0"/>
    <x v="2"/>
    <x v="0"/>
    <x v="1"/>
    <x v="1"/>
  </r>
  <r>
    <x v="26"/>
    <x v="26"/>
    <x v="1"/>
    <x v="5"/>
    <x v="1"/>
    <x v="2"/>
    <x v="2"/>
  </r>
  <r>
    <x v="27"/>
    <x v="27"/>
    <x v="0"/>
    <x v="14"/>
    <x v="0"/>
    <x v="3"/>
    <x v="3"/>
  </r>
  <r>
    <x v="28"/>
    <x v="28"/>
    <x v="1"/>
    <x v="1"/>
    <x v="2"/>
    <x v="4"/>
    <x v="4"/>
  </r>
  <r>
    <x v="29"/>
    <x v="29"/>
    <x v="0"/>
    <x v="3"/>
    <x v="0"/>
    <x v="5"/>
    <x v="5"/>
  </r>
  <r>
    <x v="30"/>
    <x v="30"/>
    <x v="1"/>
    <x v="6"/>
    <x v="1"/>
    <x v="0"/>
    <x v="0"/>
  </r>
  <r>
    <x v="31"/>
    <x v="31"/>
    <x v="0"/>
    <x v="7"/>
    <x v="0"/>
    <x v="7"/>
    <x v="7"/>
  </r>
  <r>
    <x v="32"/>
    <x v="32"/>
    <x v="1"/>
    <x v="8"/>
    <x v="1"/>
    <x v="1"/>
    <x v="1"/>
  </r>
  <r>
    <x v="33"/>
    <x v="33"/>
    <x v="0"/>
    <x v="9"/>
    <x v="1"/>
    <x v="2"/>
    <x v="2"/>
  </r>
  <r>
    <x v="34"/>
    <x v="34"/>
    <x v="1"/>
    <x v="10"/>
    <x v="0"/>
    <x v="3"/>
    <x v="3"/>
  </r>
  <r>
    <x v="35"/>
    <x v="35"/>
    <x v="0"/>
    <x v="13"/>
    <x v="1"/>
    <x v="8"/>
    <x v="8"/>
  </r>
  <r>
    <x v="36"/>
    <x v="36"/>
    <x v="1"/>
    <x v="0"/>
    <x v="2"/>
    <x v="6"/>
    <x v="6"/>
  </r>
  <r>
    <x v="37"/>
    <x v="37"/>
    <x v="0"/>
    <x v="2"/>
    <x v="0"/>
    <x v="4"/>
    <x v="4"/>
  </r>
  <r>
    <x v="38"/>
    <x v="38"/>
    <x v="1"/>
    <x v="19"/>
    <x v="1"/>
    <x v="5"/>
    <x v="5"/>
  </r>
  <r>
    <x v="39"/>
    <x v="39"/>
    <x v="0"/>
    <x v="16"/>
    <x v="0"/>
    <x v="7"/>
    <x v="7"/>
  </r>
  <r>
    <x v="40"/>
    <x v="40"/>
    <x v="1"/>
    <x v="4"/>
    <x v="1"/>
    <x v="8"/>
    <x v="8"/>
  </r>
  <r>
    <x v="41"/>
    <x v="41"/>
    <x v="0"/>
    <x v="5"/>
    <x v="0"/>
    <x v="1"/>
    <x v="1"/>
  </r>
  <r>
    <x v="42"/>
    <x v="42"/>
    <x v="1"/>
    <x v="2"/>
    <x v="1"/>
    <x v="2"/>
    <x v="2"/>
  </r>
  <r>
    <x v="43"/>
    <x v="43"/>
    <x v="0"/>
    <x v="6"/>
    <x v="0"/>
    <x v="3"/>
    <x v="3"/>
  </r>
  <r>
    <x v="44"/>
    <x v="44"/>
    <x v="1"/>
    <x v="1"/>
    <x v="2"/>
    <x v="4"/>
    <x v="4"/>
  </r>
  <r>
    <x v="45"/>
    <x v="45"/>
    <x v="0"/>
    <x v="14"/>
    <x v="0"/>
    <x v="5"/>
    <x v="5"/>
  </r>
  <r>
    <x v="46"/>
    <x v="46"/>
    <x v="1"/>
    <x v="7"/>
    <x v="1"/>
    <x v="7"/>
    <x v="7"/>
  </r>
  <r>
    <x v="47"/>
    <x v="47"/>
    <x v="0"/>
    <x v="8"/>
    <x v="0"/>
    <x v="0"/>
    <x v="0"/>
  </r>
  <r>
    <x v="48"/>
    <x v="48"/>
    <x v="1"/>
    <x v="10"/>
    <x v="1"/>
    <x v="1"/>
    <x v="1"/>
  </r>
  <r>
    <x v="49"/>
    <x v="49"/>
    <x v="0"/>
    <x v="15"/>
    <x v="1"/>
    <x v="2"/>
    <x v="2"/>
  </r>
  <r>
    <x v="50"/>
    <x v="50"/>
    <x v="1"/>
    <x v="16"/>
    <x v="0"/>
    <x v="3"/>
    <x v="3"/>
  </r>
  <r>
    <x v="51"/>
    <x v="51"/>
    <x v="0"/>
    <x v="13"/>
    <x v="1"/>
    <x v="8"/>
    <x v="8"/>
  </r>
  <r>
    <x v="52"/>
    <x v="52"/>
    <x v="1"/>
    <x v="0"/>
    <x v="2"/>
    <x v="6"/>
    <x v="6"/>
  </r>
  <r>
    <x v="53"/>
    <x v="53"/>
    <x v="0"/>
    <x v="2"/>
    <x v="0"/>
    <x v="4"/>
    <x v="4"/>
  </r>
  <r>
    <x v="54"/>
    <x v="54"/>
    <x v="1"/>
    <x v="19"/>
    <x v="1"/>
    <x v="5"/>
    <x v="5"/>
  </r>
  <r>
    <x v="55"/>
    <x v="55"/>
    <x v="0"/>
    <x v="5"/>
    <x v="0"/>
    <x v="7"/>
    <x v="7"/>
  </r>
  <r>
    <x v="56"/>
    <x v="56"/>
    <x v="1"/>
    <x v="4"/>
    <x v="1"/>
    <x v="8"/>
    <x v="8"/>
  </r>
  <r>
    <x v="57"/>
    <x v="57"/>
    <x v="0"/>
    <x v="2"/>
    <x v="0"/>
    <x v="1"/>
    <x v="1"/>
  </r>
  <r>
    <x v="58"/>
    <x v="58"/>
    <x v="1"/>
    <x v="6"/>
    <x v="1"/>
    <x v="2"/>
    <x v="2"/>
  </r>
  <r>
    <x v="59"/>
    <x v="59"/>
    <x v="0"/>
    <x v="7"/>
    <x v="0"/>
    <x v="3"/>
    <x v="3"/>
  </r>
  <r>
    <x v="60"/>
    <x v="60"/>
    <x v="1"/>
    <x v="8"/>
    <x v="2"/>
    <x v="4"/>
    <x v="4"/>
  </r>
  <r>
    <x v="61"/>
    <x v="61"/>
    <x v="0"/>
    <x v="9"/>
    <x v="0"/>
    <x v="5"/>
    <x v="5"/>
  </r>
  <r>
    <x v="62"/>
    <x v="62"/>
    <x v="1"/>
    <x v="10"/>
    <x v="1"/>
    <x v="7"/>
    <x v="7"/>
  </r>
  <r>
    <x v="63"/>
    <x v="63"/>
    <x v="0"/>
    <x v="15"/>
    <x v="0"/>
    <x v="0"/>
    <x v="0"/>
  </r>
  <r>
    <x v="64"/>
    <x v="64"/>
    <x v="1"/>
    <x v="16"/>
    <x v="1"/>
    <x v="1"/>
    <x v="1"/>
  </r>
  <r>
    <x v="65"/>
    <x v="65"/>
    <x v="0"/>
    <x v="13"/>
    <x v="1"/>
    <x v="2"/>
    <x v="2"/>
  </r>
  <r>
    <x v="66"/>
    <x v="66"/>
    <x v="1"/>
    <x v="0"/>
    <x v="0"/>
    <x v="3"/>
    <x v="3"/>
  </r>
  <r>
    <x v="67"/>
    <x v="67"/>
    <x v="0"/>
    <x v="1"/>
    <x v="2"/>
    <x v="8"/>
    <x v="8"/>
  </r>
  <r>
    <x v="68"/>
    <x v="68"/>
    <x v="1"/>
    <x v="2"/>
    <x v="0"/>
    <x v="6"/>
    <x v="6"/>
  </r>
  <r>
    <x v="69"/>
    <x v="69"/>
    <x v="0"/>
    <x v="19"/>
    <x v="1"/>
    <x v="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2D1DD2-506A-489D-9BD7-4431BBE973BD}" name="PivotTable1"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Gender">
  <location ref="A3:B5" firstHeaderRow="1" firstDataRow="1" firstDataCol="1"/>
  <pivotFields count="10">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axis="axisRow" showAll="0">
      <items count="3">
        <item x="1"/>
        <item x="0"/>
        <item t="default"/>
      </items>
    </pivotField>
    <pivotField showAll="0">
      <items count="9">
        <item x="0"/>
        <item x="1"/>
        <item x="2"/>
        <item x="3"/>
        <item x="4"/>
        <item x="5"/>
        <item x="6"/>
        <item x="7"/>
        <item t="default"/>
      </items>
    </pivotField>
    <pivotField showAll="0"/>
    <pivotField showAll="0">
      <items count="10">
        <item x="2"/>
        <item x="6"/>
        <item x="7"/>
        <item x="1"/>
        <item x="3"/>
        <item x="4"/>
        <item x="0"/>
        <item x="8"/>
        <item x="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2">
    <i>
      <x/>
    </i>
    <i>
      <x v="1"/>
    </i>
  </rowItems>
  <colItems count="1">
    <i/>
  </colItems>
  <dataFields count="1">
    <dataField name="Average Treatment Cost by Gender" fld="6" subtotal="average" baseField="2" baseItem="0" numFmtId="1"/>
  </dataFields>
  <formats count="1">
    <format dxfId="24">
      <pivotArea outline="0" collapsedLevelsAreSubtotals="1" fieldPosition="0"/>
    </format>
  </format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2" count="1" selected="0">
            <x v="0"/>
          </reference>
        </references>
      </pivotArea>
    </chartFormat>
    <chartFormat chart="8" format="11">
      <pivotArea type="data" outline="0" fieldPosition="0">
        <references count="2">
          <reference field="4294967294" count="1" selected="0">
            <x v="0"/>
          </reference>
          <reference field="2" count="1" selected="0">
            <x v="1"/>
          </reference>
        </references>
      </pivotArea>
    </chartFormat>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2" count="1" selected="0">
            <x v="0"/>
          </reference>
        </references>
      </pivotArea>
    </chartFormat>
    <chartFormat chart="10" format="5">
      <pivotArea type="data" outline="0" fieldPosition="0">
        <references count="2">
          <reference field="4294967294" count="1" selected="0">
            <x v="0"/>
          </reference>
          <reference field="2"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2" count="1" selected="0">
            <x v="0"/>
          </reference>
        </references>
      </pivotArea>
    </chartFormat>
    <chartFormat chart="12"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2A5518-E9A8-4EDE-92EE-52DCA280C3E1}"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 Group">
  <location ref="A3:B10" firstHeaderRow="1" firstDataRow="1" firstDataCol="1"/>
  <pivotFields count="10">
    <pivotField dataField="1"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axis="axisRow" showAll="0">
      <items count="9">
        <item x="0"/>
        <item x="1"/>
        <item x="2"/>
        <item x="3"/>
        <item x="4"/>
        <item x="5"/>
        <item x="6"/>
        <item x="7"/>
        <item t="default"/>
      </items>
    </pivotField>
    <pivotField showAll="0"/>
    <pivotField showAll="0">
      <items count="10">
        <item x="2"/>
        <item x="6"/>
        <item x="7"/>
        <item x="1"/>
        <item x="3"/>
        <item x="4"/>
        <item x="0"/>
        <item x="8"/>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7">
    <i>
      <x v="1"/>
    </i>
    <i>
      <x v="2"/>
    </i>
    <i>
      <x v="3"/>
    </i>
    <i>
      <x v="4"/>
    </i>
    <i>
      <x v="5"/>
    </i>
    <i>
      <x v="6"/>
    </i>
    <i t="grand">
      <x/>
    </i>
  </rowItems>
  <colItems count="1">
    <i/>
  </colItems>
  <dataFields count="1">
    <dataField name="Distribution of Patients by Age Group" fld="0" subtotal="count" baseField="3" baseItem="1"/>
  </dataFields>
  <chartFormats count="3">
    <chartFormat chart="2" format="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5D9474-464A-496B-B2F5-CD03034BD6D7}"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Insurance Type">
  <location ref="A3:B7" firstHeaderRow="1" firstDataRow="1" firstDataCol="1"/>
  <pivotFields count="10">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items count="9">
        <item x="0"/>
        <item x="1"/>
        <item x="2"/>
        <item x="3"/>
        <item x="4"/>
        <item x="5"/>
        <item x="6"/>
        <item x="7"/>
        <item t="default"/>
      </items>
    </pivotField>
    <pivotField axis="axisRow" showAll="0">
      <items count="4">
        <item x="2"/>
        <item x="1"/>
        <item x="0"/>
        <item t="default"/>
      </items>
    </pivotField>
    <pivotField showAll="0">
      <items count="10">
        <item x="2"/>
        <item x="6"/>
        <item x="7"/>
        <item x="1"/>
        <item x="3"/>
        <item x="4"/>
        <item x="0"/>
        <item x="8"/>
        <item x="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4">
    <i>
      <x/>
    </i>
    <i>
      <x v="1"/>
    </i>
    <i>
      <x v="2"/>
    </i>
    <i t="grand">
      <x/>
    </i>
  </rowItems>
  <colItems count="1">
    <i/>
  </colItems>
  <dataFields count="1">
    <dataField name="Average of Treatment_Cost" fld="6" subtotal="average" baseField="4" baseItem="0"/>
  </dataFields>
  <formats count="1">
    <format dxfId="23">
      <pivotArea collapsedLevelsAreSubtotals="1" fieldPosition="0">
        <references count="1">
          <reference field="4"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A51079-E700-4423-96E1-F71FF60B77CE}"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edical Condition">
  <location ref="A3:B13" firstHeaderRow="1" firstDataRow="1" firstDataCol="1"/>
  <pivotFields count="10">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items count="9">
        <item x="0"/>
        <item x="1"/>
        <item x="2"/>
        <item x="3"/>
        <item x="4"/>
        <item x="5"/>
        <item x="6"/>
        <item x="7"/>
        <item t="default"/>
      </items>
    </pivotField>
    <pivotField showAll="0"/>
    <pivotField axis="axisRow" dataField="1" showAll="0" sortType="descending">
      <items count="10">
        <item x="2"/>
        <item x="6"/>
        <item x="7"/>
        <item x="1"/>
        <item x="3"/>
        <item x="4"/>
        <item x="0"/>
        <item x="8"/>
        <item x="5"/>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0">
    <i>
      <x v="5"/>
    </i>
    <i>
      <x/>
    </i>
    <i>
      <x v="3"/>
    </i>
    <i>
      <x v="4"/>
    </i>
    <i>
      <x v="7"/>
    </i>
    <i>
      <x v="2"/>
    </i>
    <i>
      <x v="8"/>
    </i>
    <i>
      <x v="1"/>
    </i>
    <i>
      <x v="6"/>
    </i>
    <i t="grand">
      <x/>
    </i>
  </rowItems>
  <colItems count="1">
    <i/>
  </colItems>
  <dataFields count="1">
    <dataField name="Most Common Medical Conditions" fld="5" subtotal="count" baseField="5"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F1E4CF-8B2B-4F84-A2FE-22EDC78B3184}"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Medical Condition">
  <location ref="A3:B13" firstHeaderRow="1" firstDataRow="1" firstDataCol="1"/>
  <pivotFields count="10">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items count="9">
        <item x="0"/>
        <item x="1"/>
        <item x="2"/>
        <item x="3"/>
        <item x="4"/>
        <item x="5"/>
        <item x="6"/>
        <item x="7"/>
        <item t="default"/>
      </items>
    </pivotField>
    <pivotField showAll="0"/>
    <pivotField axis="axisRow" showAll="0">
      <items count="10">
        <item x="2"/>
        <item x="6"/>
        <item x="7"/>
        <item x="1"/>
        <item x="3"/>
        <item x="4"/>
        <item x="0"/>
        <item x="8"/>
        <item x="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0">
    <i>
      <x/>
    </i>
    <i>
      <x v="1"/>
    </i>
    <i>
      <x v="2"/>
    </i>
    <i>
      <x v="3"/>
    </i>
    <i>
      <x v="4"/>
    </i>
    <i>
      <x v="5"/>
    </i>
    <i>
      <x v="6"/>
    </i>
    <i>
      <x v="7"/>
    </i>
    <i>
      <x v="8"/>
    </i>
    <i t="grand">
      <x/>
    </i>
  </rowItems>
  <colItems count="1">
    <i/>
  </colItems>
  <dataFields count="1">
    <dataField name="Sum of Treatment_Cos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CCA4C9-ED9A-4CB0-BD74-5219B90D9CF5}"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A3:D11" firstHeaderRow="1" firstDataRow="2" firstDataCol="1"/>
  <pivotFields count="10">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axis="axisCol" showAll="0">
      <items count="3">
        <item x="1"/>
        <item x="0"/>
        <item t="default"/>
      </items>
    </pivotField>
    <pivotField axis="axisRow" showAll="0">
      <items count="9">
        <item x="0"/>
        <item x="1"/>
        <item x="2"/>
        <item x="3"/>
        <item x="4"/>
        <item x="5"/>
        <item x="6"/>
        <item x="7"/>
        <item t="default"/>
      </items>
    </pivotField>
    <pivotField showAll="0"/>
    <pivotField showAll="0">
      <items count="10">
        <item x="2"/>
        <item x="6"/>
        <item x="7"/>
        <item x="1"/>
        <item x="3"/>
        <item x="4"/>
        <item x="0"/>
        <item x="8"/>
        <item x="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7">
    <i>
      <x v="1"/>
    </i>
    <i>
      <x v="2"/>
    </i>
    <i>
      <x v="3"/>
    </i>
    <i>
      <x v="4"/>
    </i>
    <i>
      <x v="5"/>
    </i>
    <i>
      <x v="6"/>
    </i>
    <i t="grand">
      <x/>
    </i>
  </rowItems>
  <colFields count="1">
    <field x="2"/>
  </colFields>
  <colItems count="3">
    <i>
      <x/>
    </i>
    <i>
      <x v="1"/>
    </i>
    <i t="grand">
      <x/>
    </i>
  </colItems>
  <dataFields count="1">
    <dataField name="Average of Treatment_Cost" fld="6" subtotal="average" baseField="3" baseItem="1"/>
  </dataFields>
  <formats count="3">
    <format dxfId="14">
      <pivotArea collapsedLevelsAreSubtotals="1" fieldPosition="0">
        <references count="2">
          <reference field="2" count="1" selected="0">
            <x v="1"/>
          </reference>
          <reference field="3" count="1">
            <x v="2"/>
          </reference>
        </references>
      </pivotArea>
    </format>
    <format dxfId="7">
      <pivotArea collapsedLevelsAreSubtotals="1" fieldPosition="0">
        <references count="2">
          <reference field="2" count="1" selected="0">
            <x v="0"/>
          </reference>
          <reference field="3" count="1">
            <x v="3"/>
          </reference>
        </references>
      </pivotArea>
    </format>
    <format dxfId="1">
      <pivotArea collapsedLevelsAreSubtotals="1" fieldPosition="0">
        <references count="2">
          <reference field="2" count="1" selected="0">
            <x v="0"/>
          </reference>
          <reference field="3" count="1">
            <x v="4"/>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0"/>
          </reference>
        </references>
      </pivotArea>
    </chartFormat>
    <chartFormat chart="3" format="6"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B180E7-DCC7-458D-8A92-B1319A8F2086}"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Gender and Insurance type" colHeaderCaption="Gender">
  <location ref="A3:D8" firstHeaderRow="1" firstDataRow="2" firstDataCol="1"/>
  <pivotFields count="10">
    <pivotField dataField="1"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axis="axisCol" showAll="0">
      <items count="3">
        <item x="1"/>
        <item x="0"/>
        <item t="default"/>
      </items>
    </pivotField>
    <pivotField showAll="0">
      <items count="9">
        <item x="0"/>
        <item x="1"/>
        <item x="2"/>
        <item x="3"/>
        <item x="4"/>
        <item x="5"/>
        <item x="6"/>
        <item x="7"/>
        <item t="default"/>
      </items>
    </pivotField>
    <pivotField axis="axisRow" showAll="0">
      <items count="4">
        <item x="2"/>
        <item x="1"/>
        <item x="0"/>
        <item t="default"/>
      </items>
    </pivotField>
    <pivotField showAll="0">
      <items count="10">
        <item x="2"/>
        <item x="6"/>
        <item x="7"/>
        <item x="1"/>
        <item x="3"/>
        <item x="4"/>
        <item x="0"/>
        <item x="8"/>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4">
    <i>
      <x/>
    </i>
    <i>
      <x v="1"/>
    </i>
    <i>
      <x v="2"/>
    </i>
    <i t="grand">
      <x/>
    </i>
  </rowItems>
  <colFields count="1">
    <field x="2"/>
  </colFields>
  <colItems count="3">
    <i>
      <x/>
    </i>
    <i>
      <x v="1"/>
    </i>
    <i t="grand">
      <x/>
    </i>
  </colItems>
  <dataFields count="1">
    <dataField name="Distribution of Patients by Insurance Type and Gender" fld="0" baseField="2"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EC4259-FCAA-48D8-BD84-82A641C31322}"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14" firstHeaderRow="1" firstDataRow="2" firstDataCol="1"/>
  <pivotFields count="10">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items count="9">
        <item x="0"/>
        <item x="1"/>
        <item x="2"/>
        <item x="3"/>
        <item x="4"/>
        <item x="5"/>
        <item x="6"/>
        <item x="7"/>
        <item t="default"/>
      </items>
    </pivotField>
    <pivotField axis="axisCol" showAll="0">
      <items count="4">
        <item x="2"/>
        <item x="1"/>
        <item x="0"/>
        <item t="default"/>
      </items>
    </pivotField>
    <pivotField axis="axisRow" showAll="0">
      <items count="10">
        <item x="2"/>
        <item x="6"/>
        <item x="7"/>
        <item x="1"/>
        <item x="3"/>
        <item x="4"/>
        <item x="0"/>
        <item x="8"/>
        <item x="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0">
    <i>
      <x/>
    </i>
    <i>
      <x v="1"/>
    </i>
    <i>
      <x v="2"/>
    </i>
    <i>
      <x v="3"/>
    </i>
    <i>
      <x v="4"/>
    </i>
    <i>
      <x v="5"/>
    </i>
    <i>
      <x v="6"/>
    </i>
    <i>
      <x v="7"/>
    </i>
    <i>
      <x v="8"/>
    </i>
    <i t="grand">
      <x/>
    </i>
  </rowItems>
  <colFields count="1">
    <field x="4"/>
  </colFields>
  <colItems count="4">
    <i>
      <x/>
    </i>
    <i>
      <x v="1"/>
    </i>
    <i>
      <x v="2"/>
    </i>
    <i t="grand">
      <x/>
    </i>
  </colItems>
  <dataFields count="1">
    <dataField name="Total Treatment Cost by Insurance Type and Medical Condition" fld="6" baseField="0" baseItem="0"/>
  </dataField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1" format="4" series="1">
      <pivotArea type="data" outline="0" fieldPosition="0">
        <references count="2">
          <reference field="4294967294" count="1" selected="0">
            <x v="0"/>
          </reference>
          <reference field="5" count="1" selected="0">
            <x v="2"/>
          </reference>
        </references>
      </pivotArea>
    </chartFormat>
    <chartFormat chart="1" format="5" series="1">
      <pivotArea type="data" outline="0" fieldPosition="0">
        <references count="2">
          <reference field="4294967294" count="1" selected="0">
            <x v="0"/>
          </reference>
          <reference field="5" count="1" selected="0">
            <x v="3"/>
          </reference>
        </references>
      </pivotArea>
    </chartFormat>
    <chartFormat chart="1" format="6" series="1">
      <pivotArea type="data" outline="0" fieldPosition="0">
        <references count="2">
          <reference field="4294967294" count="1" selected="0">
            <x v="0"/>
          </reference>
          <reference field="5" count="1" selected="0">
            <x v="4"/>
          </reference>
        </references>
      </pivotArea>
    </chartFormat>
    <chartFormat chart="1" format="7" series="1">
      <pivotArea type="data" outline="0" fieldPosition="0">
        <references count="2">
          <reference field="4294967294" count="1" selected="0">
            <x v="0"/>
          </reference>
          <reference field="5" count="1" selected="0">
            <x v="5"/>
          </reference>
        </references>
      </pivotArea>
    </chartFormat>
    <chartFormat chart="1" format="8" series="1">
      <pivotArea type="data" outline="0" fieldPosition="0">
        <references count="2">
          <reference field="4294967294" count="1" selected="0">
            <x v="0"/>
          </reference>
          <reference field="5" count="1" selected="0">
            <x v="6"/>
          </reference>
        </references>
      </pivotArea>
    </chartFormat>
    <chartFormat chart="1" format="9" series="1">
      <pivotArea type="data" outline="0" fieldPosition="0">
        <references count="2">
          <reference field="4294967294" count="1" selected="0">
            <x v="0"/>
          </reference>
          <reference field="5" count="1" selected="0">
            <x v="7"/>
          </reference>
        </references>
      </pivotArea>
    </chartFormat>
    <chartFormat chart="1" format="10" series="1">
      <pivotArea type="data" outline="0" fieldPosition="0">
        <references count="2">
          <reference field="4294967294" count="1" selected="0">
            <x v="0"/>
          </reference>
          <reference field="5" count="1" selected="0">
            <x v="8"/>
          </reference>
        </references>
      </pivotArea>
    </chartFormat>
    <chartFormat chart="1" format="11"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1FD18A-6525-4D55-B29D-30519A1FE720}" name="PivotTable10"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3" firstHeaderRow="1" firstDataRow="1" firstDataCol="1"/>
  <pivotFields count="10">
    <pivotField showAll="0"/>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dataField="1" showAll="0">
      <items count="9">
        <item x="0"/>
        <item x="1"/>
        <item x="2"/>
        <item x="3"/>
        <item x="4"/>
        <item x="5"/>
        <item x="6"/>
        <item x="7"/>
        <item t="default"/>
      </items>
    </pivotField>
    <pivotField showAll="0"/>
    <pivotField axis="axisRow" showAll="0">
      <items count="10">
        <item x="2"/>
        <item x="6"/>
        <item x="7"/>
        <item x="1"/>
        <item x="3"/>
        <item x="4"/>
        <item x="0"/>
        <item x="8"/>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0">
    <i>
      <x/>
    </i>
    <i>
      <x v="1"/>
    </i>
    <i>
      <x v="2"/>
    </i>
    <i>
      <x v="3"/>
    </i>
    <i>
      <x v="4"/>
    </i>
    <i>
      <x v="5"/>
    </i>
    <i>
      <x v="6"/>
    </i>
    <i>
      <x v="7"/>
    </i>
    <i>
      <x v="8"/>
    </i>
    <i t="grand">
      <x/>
    </i>
  </rowItems>
  <colItems count="1">
    <i/>
  </colItems>
  <dataFields count="1">
    <dataField name="Average of Age" fld="3" subtotal="average" baseField="5" baseItem="0"/>
  </dataFields>
  <formats count="3">
    <format dxfId="22">
      <pivotArea collapsedLevelsAreSubtotals="1" fieldPosition="0">
        <references count="1">
          <reference field="5" count="1">
            <x v="0"/>
          </reference>
        </references>
      </pivotArea>
    </format>
    <format dxfId="21">
      <pivotArea collapsedLevelsAreSubtotals="1" fieldPosition="0">
        <references count="1">
          <reference field="5" count="8">
            <x v="1"/>
            <x v="2"/>
            <x v="3"/>
            <x v="4"/>
            <x v="5"/>
            <x v="6"/>
            <x v="7"/>
            <x v="8"/>
          </reference>
        </references>
      </pivotArea>
    </format>
    <format dxfId="20">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2E073F-DEDA-4304-8066-17A8A28EA440}" name="PivotTable1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edical Condition">
  <location ref="A3:B13" firstHeaderRow="1" firstDataRow="1" firstDataCol="1"/>
  <pivotFields count="10">
    <pivotField dataField="1"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items count="9">
        <item x="0"/>
        <item x="1"/>
        <item x="2"/>
        <item x="3"/>
        <item x="4"/>
        <item x="5"/>
        <item x="6"/>
        <item x="7"/>
        <item t="default"/>
      </items>
    </pivotField>
    <pivotField showAll="0"/>
    <pivotField axis="axisRow" showAll="0" sortType="descending">
      <items count="10">
        <item x="2"/>
        <item x="6"/>
        <item x="7"/>
        <item x="1"/>
        <item x="3"/>
        <item x="4"/>
        <item x="0"/>
        <item x="8"/>
        <item x="5"/>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0">
    <i>
      <x v="5"/>
    </i>
    <i>
      <x/>
    </i>
    <i>
      <x v="3"/>
    </i>
    <i>
      <x v="4"/>
    </i>
    <i>
      <x v="7"/>
    </i>
    <i>
      <x v="2"/>
    </i>
    <i>
      <x v="8"/>
    </i>
    <i>
      <x v="1"/>
    </i>
    <i>
      <x v="6"/>
    </i>
    <i t="grand">
      <x/>
    </i>
  </rowItems>
  <colItems count="1">
    <i/>
  </colItems>
  <dataFields count="1">
    <dataField name="Percentage of Patients with Chronic Conditions" fld="0" subtotal="count" showDataAs="percentOfTotal" baseField="5"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2E28E0B-9C88-4E3B-A7F4-569B75F4BB8B}" name="PivotTable12" cacheId="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Admisison Date">
  <location ref="A3:B8" firstHeaderRow="1" firstDataRow="1" firstDataCol="1"/>
  <pivotFields count="10">
    <pivotField showAll="0"/>
    <pivotField axis="axisRow"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items count="9">
        <item x="0"/>
        <item x="1"/>
        <item x="2"/>
        <item x="3"/>
        <item x="4"/>
        <item x="5"/>
        <item x="6"/>
        <item x="7"/>
        <item t="default"/>
      </items>
    </pivotField>
    <pivotField showAll="0"/>
    <pivotField showAll="0">
      <items count="10">
        <item x="2"/>
        <item x="6"/>
        <item x="7"/>
        <item x="1"/>
        <item x="3"/>
        <item x="4"/>
        <item x="0"/>
        <item x="8"/>
        <item x="5"/>
        <item t="default"/>
      </items>
    </pivotField>
    <pivotField dataField="1" showAll="0">
      <items count="10">
        <item x="4"/>
        <item x="0"/>
        <item x="6"/>
        <item x="1"/>
        <item x="8"/>
        <item x="2"/>
        <item x="3"/>
        <item x="5"/>
        <item x="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9"/>
    <field x="8"/>
    <field x="7"/>
    <field x="1"/>
  </rowFields>
  <rowItems count="5">
    <i>
      <x v="1"/>
    </i>
    <i>
      <x v="2"/>
    </i>
    <i>
      <x v="3"/>
    </i>
    <i>
      <x v="4"/>
    </i>
    <i t="grand">
      <x/>
    </i>
  </rowItems>
  <colItems count="1">
    <i/>
  </colItems>
  <dataFields count="1">
    <dataField name="Sum of Treatment_Cost" fld="6" baseField="0" baseItem="0"/>
  </dataFields>
  <chartFormats count="2">
    <chartFormat chart="0" format="4"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CC629D-C809-460B-A6BD-C28378340154}" name="PivotTable1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F11" firstHeaderRow="1" firstDataRow="5" firstDataCol="1"/>
  <pivotFields count="10">
    <pivotField showAll="0"/>
    <pivotField axis="axisCol"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items count="9">
        <item x="0"/>
        <item x="1"/>
        <item x="2"/>
        <item x="3"/>
        <item x="4"/>
        <item x="5"/>
        <item x="6"/>
        <item x="7"/>
        <item t="default"/>
      </items>
    </pivotField>
    <pivotField axis="axisRow" showAll="0">
      <items count="4">
        <item x="2"/>
        <item x="1"/>
        <item x="0"/>
        <item t="default"/>
      </items>
    </pivotField>
    <pivotField showAll="0">
      <items count="10">
        <item x="2"/>
        <item x="6"/>
        <item x="7"/>
        <item x="1"/>
        <item x="3"/>
        <item x="4"/>
        <item x="0"/>
        <item x="8"/>
        <item x="5"/>
        <item t="default"/>
      </items>
    </pivotField>
    <pivotField dataField="1"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7">
        <item sd="0" x="0"/>
        <item sd="0" x="1"/>
        <item sd="0" x="2"/>
        <item sd="0" x="3"/>
        <item sd="0" x="4"/>
        <item sd="0" x="5"/>
        <item t="default"/>
      </items>
    </pivotField>
  </pivotFields>
  <rowFields count="1">
    <field x="4"/>
  </rowFields>
  <rowItems count="4">
    <i>
      <x/>
    </i>
    <i>
      <x v="1"/>
    </i>
    <i>
      <x v="2"/>
    </i>
    <i t="grand">
      <x/>
    </i>
  </rowItems>
  <colFields count="4">
    <field x="9"/>
    <field x="8"/>
    <field x="7"/>
    <field x="1"/>
  </colFields>
  <colItems count="5">
    <i>
      <x v="1"/>
    </i>
    <i>
      <x v="2"/>
    </i>
    <i>
      <x v="3"/>
    </i>
    <i>
      <x v="4"/>
    </i>
    <i t="grand">
      <x/>
    </i>
  </colItems>
  <dataFields count="1">
    <dataField name="Total Treatment Cost by Insurance Type Over Time" fld="6" baseField="0" baseItem="0"/>
  </dataFields>
  <chartFormats count="8">
    <chartFormat chart="0" format="0" series="1">
      <pivotArea type="data" outline="0" fieldPosition="0">
        <references count="2">
          <reference field="4294967294" count="1" selected="0">
            <x v="0"/>
          </reference>
          <reference field="9" count="1" selected="0">
            <x v="1"/>
          </reference>
        </references>
      </pivotArea>
    </chartFormat>
    <chartFormat chart="0" format="1" series="1">
      <pivotArea type="data" outline="0" fieldPosition="0">
        <references count="2">
          <reference field="4294967294" count="1" selected="0">
            <x v="0"/>
          </reference>
          <reference field="9" count="1" selected="0">
            <x v="2"/>
          </reference>
        </references>
      </pivotArea>
    </chartFormat>
    <chartFormat chart="0" format="2" series="1">
      <pivotArea type="data" outline="0" fieldPosition="0">
        <references count="2">
          <reference field="4294967294" count="1" selected="0">
            <x v="0"/>
          </reference>
          <reference field="9" count="1" selected="0">
            <x v="3"/>
          </reference>
        </references>
      </pivotArea>
    </chartFormat>
    <chartFormat chart="0" format="3" series="1">
      <pivotArea type="data" outline="0" fieldPosition="0">
        <references count="2">
          <reference field="4294967294" count="1" selected="0">
            <x v="0"/>
          </reference>
          <reference field="9" count="1" selected="0">
            <x v="4"/>
          </reference>
        </references>
      </pivotArea>
    </chartFormat>
    <chartFormat chart="3" format="8" series="1">
      <pivotArea type="data" outline="0" fieldPosition="0">
        <references count="2">
          <reference field="4294967294" count="1" selected="0">
            <x v="0"/>
          </reference>
          <reference field="9" count="1" selected="0">
            <x v="1"/>
          </reference>
        </references>
      </pivotArea>
    </chartFormat>
    <chartFormat chart="3" format="9" series="1">
      <pivotArea type="data" outline="0" fieldPosition="0">
        <references count="2">
          <reference field="4294967294" count="1" selected="0">
            <x v="0"/>
          </reference>
          <reference field="9" count="1" selected="0">
            <x v="2"/>
          </reference>
        </references>
      </pivotArea>
    </chartFormat>
    <chartFormat chart="3" format="10" series="1">
      <pivotArea type="data" outline="0" fieldPosition="0">
        <references count="2">
          <reference field="4294967294" count="1" selected="0">
            <x v="0"/>
          </reference>
          <reference field="9" count="1" selected="0">
            <x v="3"/>
          </reference>
        </references>
      </pivotArea>
    </chartFormat>
    <chartFormat chart="3" format="11"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6B2294E8-457C-41D8-8332-0F97DAD071D7}" sourceName="Age">
  <pivotTables>
    <pivotTable tabId="14" name="PivotTable2"/>
    <pivotTable tabId="12" name="PivotTable1"/>
    <pivotTable tabId="24" name="PivotTable11"/>
    <pivotTable tabId="25" name="PivotTable12"/>
    <pivotTable tabId="26" name="PivotTable13"/>
    <pivotTable tabId="17" name="PivotTable4"/>
    <pivotTable tabId="18" name="PivotTable5"/>
    <pivotTable tabId="19" name="PivotTable6"/>
    <pivotTable tabId="20" name="PivotTable7"/>
    <pivotTable tabId="21" name="PivotTable8"/>
    <pivotTable tabId="22" name="PivotTable9"/>
    <pivotTable tabId="23" name="PivotTable10"/>
  </pivotTables>
  <data>
    <tabular pivotCacheId="2002811774">
      <items count="8">
        <i x="1" s="1"/>
        <i x="2" s="1"/>
        <i x="3" s="1"/>
        <i x="4" s="1"/>
        <i x="5" s="1"/>
        <i x="6" s="1"/>
        <i x="0" s="1" nd="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52210B6-CAE7-4319-8742-54F264CB3AF6}" sourceName="Gender">
  <pivotTables>
    <pivotTable tabId="12" name="PivotTable1"/>
  </pivotTables>
  <data>
    <tabular pivotCacheId="200281177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 xr10:uid="{27C2F246-3E25-4DEE-98A5-A0E03125B620}" sourceName="Medical_Condition">
  <pivotTables>
    <pivotTable tabId="18" name="PivotTable5"/>
    <pivotTable tabId="12" name="PivotTable1"/>
    <pivotTable tabId="24" name="PivotTable11"/>
    <pivotTable tabId="25" name="PivotTable12"/>
    <pivotTable tabId="26" name="PivotTable13"/>
    <pivotTable tabId="14" name="PivotTable2"/>
    <pivotTable tabId="17" name="PivotTable4"/>
    <pivotTable tabId="19" name="PivotTable6"/>
    <pivotTable tabId="20" name="PivotTable7"/>
    <pivotTable tabId="21" name="PivotTable8"/>
    <pivotTable tabId="22" name="PivotTable9"/>
    <pivotTable tabId="23" name="PivotTable10"/>
  </pivotTables>
  <data>
    <tabular pivotCacheId="2002811774">
      <items count="9">
        <i x="2" s="1"/>
        <i x="6" s="1"/>
        <i x="7" s="1"/>
        <i x="1" s="1"/>
        <i x="3" s="1"/>
        <i x="4" s="1"/>
        <i x="0" s="1"/>
        <i x="8"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Type" xr10:uid="{CB466FD4-4C0B-41C5-B7AC-1B7F6603891D}" sourceName="Insurance_Type">
  <pivotTables>
    <pivotTable tabId="21" name="PivotTable8"/>
  </pivotTables>
  <data>
    <tabular pivotCacheId="200281177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A2E3A2E-9C7B-4CEA-A983-241EC5CBEB11}"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35F1D57E-4957-46A9-BEC6-B43453294E32}" cache="Slicer_Age" caption="Ag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dical_Condition" xr10:uid="{904F6AD2-97F9-45DE-91CC-F9E5EEBB32EC}" cache="Slicer_Medical_Condition" caption="Medical_Conditi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urance_Type" xr10:uid="{C141DE7C-C226-4DB7-85C3-C77A6A9B1F83}" cache="Slicer_Insurance_Type" caption="Insurance_Typ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623FFDB3-0A25-409F-9524-6486391B2902}" cache="Slicer_Age" caption="Age" rowHeight="234950"/>
  <slicer name="Gender 1" xr10:uid="{83269431-222E-4F3E-8FB5-31D2D2242342}" cache="Slicer_Gender" caption="Gender" rowHeight="234950"/>
  <slicer name="Medical_Condition 1" xr10:uid="{7BD4B679-3DA3-4FF7-826B-360EF6838A52}" cache="Slicer_Medical_Condition" caption="Medical_Condition" rowHeight="234950"/>
  <slicer name="Insurance_Type 1" xr10:uid="{80CE77FB-5DC8-40FC-841C-87863D0A5D67}" cache="Slicer_Insurance_Type" caption="Insurance_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dmission_Date" xr10:uid="{4D1EFDF1-5F8D-4C91-A043-7FACE8696B7F}" sourceName="Admission_Date">
  <pivotTables>
    <pivotTable tabId="25" name="PivotTable12"/>
  </pivotTables>
  <state minimalRefreshVersion="6" lastRefreshVersion="6" pivotCacheId="2002811774" filterType="unknown">
    <bounds startDate="2021-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dmission_Date" xr10:uid="{46AC1279-BA15-4CA8-B354-1751F51C5D21}" cache="NativeTimeline_Admission_Date" caption="Admission_Date" level="0" selectionLevel="0"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dmission_Date 1" xr10:uid="{C87C1808-82E8-4FD7-9951-2221FB52BB4C}" cache="NativeTimeline_Admission_Date" caption="Admission_Date" level="0" selectionLevel="0" scrollPosition="2021-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5.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6A55B-949A-4073-A398-F206A8D8FA16}">
  <dimension ref="A3:B5"/>
  <sheetViews>
    <sheetView workbookViewId="0">
      <selection activeCell="J23" sqref="J23"/>
    </sheetView>
  </sheetViews>
  <sheetFormatPr defaultRowHeight="14.4" x14ac:dyDescent="0.3"/>
  <cols>
    <col min="1" max="1" width="9.33203125" bestFit="1" customWidth="1"/>
    <col min="2" max="2" width="30.88671875" bestFit="1" customWidth="1"/>
  </cols>
  <sheetData>
    <row r="3" spans="1:2" x14ac:dyDescent="0.3">
      <c r="A3" s="3" t="s">
        <v>1</v>
      </c>
      <c r="B3" t="s">
        <v>25</v>
      </c>
    </row>
    <row r="4" spans="1:2" x14ac:dyDescent="0.3">
      <c r="A4" s="4" t="s">
        <v>9</v>
      </c>
      <c r="B4" s="5">
        <v>977.14285714285711</v>
      </c>
    </row>
    <row r="5" spans="1:2" x14ac:dyDescent="0.3">
      <c r="A5" s="4" t="s">
        <v>6</v>
      </c>
      <c r="B5" s="5">
        <v>1291.4285714285713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664B4-2800-4172-BE86-795938573024}">
  <dimension ref="A3:B10"/>
  <sheetViews>
    <sheetView workbookViewId="0">
      <selection activeCell="B4" sqref="B4"/>
    </sheetView>
  </sheetViews>
  <sheetFormatPr defaultRowHeight="14.4" x14ac:dyDescent="0.3"/>
  <cols>
    <col min="1" max="1" width="12.109375" bestFit="1" customWidth="1"/>
    <col min="2" max="2" width="32.6640625" bestFit="1" customWidth="1"/>
  </cols>
  <sheetData>
    <row r="3" spans="1:2" x14ac:dyDescent="0.3">
      <c r="A3" s="3" t="s">
        <v>45</v>
      </c>
      <c r="B3" t="s">
        <v>46</v>
      </c>
    </row>
    <row r="4" spans="1:2" x14ac:dyDescent="0.3">
      <c r="A4" s="4" t="s">
        <v>26</v>
      </c>
      <c r="B4">
        <v>13</v>
      </c>
    </row>
    <row r="5" spans="1:2" x14ac:dyDescent="0.3">
      <c r="A5" s="4" t="s">
        <v>27</v>
      </c>
      <c r="B5">
        <v>13</v>
      </c>
    </row>
    <row r="6" spans="1:2" x14ac:dyDescent="0.3">
      <c r="A6" s="4" t="s">
        <v>28</v>
      </c>
      <c r="B6">
        <v>16</v>
      </c>
    </row>
    <row r="7" spans="1:2" x14ac:dyDescent="0.3">
      <c r="A7" s="4" t="s">
        <v>29</v>
      </c>
      <c r="B7">
        <v>16</v>
      </c>
    </row>
    <row r="8" spans="1:2" x14ac:dyDescent="0.3">
      <c r="A8" s="4" t="s">
        <v>30</v>
      </c>
      <c r="B8">
        <v>11</v>
      </c>
    </row>
    <row r="9" spans="1:2" x14ac:dyDescent="0.3">
      <c r="A9" s="4" t="s">
        <v>31</v>
      </c>
      <c r="B9">
        <v>1</v>
      </c>
    </row>
    <row r="10" spans="1:2" x14ac:dyDescent="0.3">
      <c r="A10" s="4" t="s">
        <v>22</v>
      </c>
      <c r="B10">
        <v>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EC072-7F2D-44FE-A8E2-09B637885E95}">
  <dimension ref="A3:B7"/>
  <sheetViews>
    <sheetView workbookViewId="0">
      <selection activeCell="B15" sqref="B15"/>
    </sheetView>
  </sheetViews>
  <sheetFormatPr defaultRowHeight="14.4" x14ac:dyDescent="0.3"/>
  <cols>
    <col min="1" max="1" width="12.5546875" bestFit="1" customWidth="1"/>
    <col min="2" max="2" width="24.33203125" bestFit="1" customWidth="1"/>
  </cols>
  <sheetData>
    <row r="3" spans="1:2" x14ac:dyDescent="0.3">
      <c r="A3" s="3" t="s">
        <v>47</v>
      </c>
      <c r="B3" t="s">
        <v>24</v>
      </c>
    </row>
    <row r="4" spans="1:2" x14ac:dyDescent="0.3">
      <c r="A4" s="4" t="s">
        <v>16</v>
      </c>
      <c r="B4" s="5">
        <v>488.88888888888891</v>
      </c>
    </row>
    <row r="5" spans="1:2" x14ac:dyDescent="0.3">
      <c r="A5" s="4" t="s">
        <v>10</v>
      </c>
      <c r="B5" s="5">
        <v>1096.6666666666667</v>
      </c>
    </row>
    <row r="6" spans="1:2" x14ac:dyDescent="0.3">
      <c r="A6" s="4" t="s">
        <v>7</v>
      </c>
      <c r="B6" s="5">
        <v>1358.0645161290322</v>
      </c>
    </row>
    <row r="7" spans="1:2" x14ac:dyDescent="0.3">
      <c r="A7" s="4" t="s">
        <v>22</v>
      </c>
      <c r="B7">
        <v>1134.2857142857142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D165A-085C-4548-BD50-780A14A04E95}">
  <dimension ref="A3:B13"/>
  <sheetViews>
    <sheetView workbookViewId="0">
      <selection activeCell="B3" sqref="B3"/>
    </sheetView>
  </sheetViews>
  <sheetFormatPr defaultRowHeight="14.4" x14ac:dyDescent="0.3"/>
  <cols>
    <col min="1" max="1" width="14.44140625" bestFit="1" customWidth="1"/>
    <col min="2" max="2" width="30.6640625" bestFit="1" customWidth="1"/>
  </cols>
  <sheetData>
    <row r="3" spans="1:2" x14ac:dyDescent="0.3">
      <c r="A3" s="3" t="s">
        <v>39</v>
      </c>
      <c r="B3" t="s">
        <v>32</v>
      </c>
    </row>
    <row r="4" spans="1:2" x14ac:dyDescent="0.3">
      <c r="A4" s="4" t="s">
        <v>14</v>
      </c>
      <c r="B4">
        <v>9</v>
      </c>
    </row>
    <row r="5" spans="1:2" x14ac:dyDescent="0.3">
      <c r="A5" s="4" t="s">
        <v>12</v>
      </c>
      <c r="B5">
        <v>9</v>
      </c>
    </row>
    <row r="6" spans="1:2" x14ac:dyDescent="0.3">
      <c r="A6" s="4" t="s">
        <v>11</v>
      </c>
      <c r="B6">
        <v>9</v>
      </c>
    </row>
    <row r="7" spans="1:2" x14ac:dyDescent="0.3">
      <c r="A7" s="4" t="s">
        <v>13</v>
      </c>
      <c r="B7">
        <v>9</v>
      </c>
    </row>
    <row r="8" spans="1:2" x14ac:dyDescent="0.3">
      <c r="A8" s="4" t="s">
        <v>19</v>
      </c>
      <c r="B8">
        <v>8</v>
      </c>
    </row>
    <row r="9" spans="1:2" x14ac:dyDescent="0.3">
      <c r="A9" s="4" t="s">
        <v>18</v>
      </c>
      <c r="B9">
        <v>8</v>
      </c>
    </row>
    <row r="10" spans="1:2" x14ac:dyDescent="0.3">
      <c r="A10" s="4" t="s">
        <v>15</v>
      </c>
      <c r="B10">
        <v>8</v>
      </c>
    </row>
    <row r="11" spans="1:2" x14ac:dyDescent="0.3">
      <c r="A11" s="4" t="s">
        <v>17</v>
      </c>
      <c r="B11">
        <v>5</v>
      </c>
    </row>
    <row r="12" spans="1:2" x14ac:dyDescent="0.3">
      <c r="A12" s="4" t="s">
        <v>8</v>
      </c>
      <c r="B12">
        <v>5</v>
      </c>
    </row>
    <row r="13" spans="1:2" x14ac:dyDescent="0.3">
      <c r="A13" s="4" t="s">
        <v>22</v>
      </c>
      <c r="B13">
        <v>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20727-F657-4448-A814-8664BC43C35E}">
  <dimension ref="A3:B13"/>
  <sheetViews>
    <sheetView workbookViewId="0">
      <selection activeCell="B3" sqref="B3"/>
    </sheetView>
  </sheetViews>
  <sheetFormatPr defaultRowHeight="14.4" x14ac:dyDescent="0.3"/>
  <cols>
    <col min="1" max="1" width="14.44140625" bestFit="1" customWidth="1"/>
    <col min="2" max="2" width="21.109375" bestFit="1" customWidth="1"/>
  </cols>
  <sheetData>
    <row r="3" spans="1:2" x14ac:dyDescent="0.3">
      <c r="A3" s="3" t="s">
        <v>39</v>
      </c>
      <c r="B3" t="s">
        <v>23</v>
      </c>
    </row>
    <row r="4" spans="1:2" x14ac:dyDescent="0.3">
      <c r="A4" s="4" t="s">
        <v>12</v>
      </c>
      <c r="B4">
        <v>9000</v>
      </c>
    </row>
    <row r="5" spans="1:2" x14ac:dyDescent="0.3">
      <c r="A5" s="4" t="s">
        <v>17</v>
      </c>
      <c r="B5">
        <v>3000</v>
      </c>
    </row>
    <row r="6" spans="1:2" x14ac:dyDescent="0.3">
      <c r="A6" s="4" t="s">
        <v>18</v>
      </c>
      <c r="B6">
        <v>20000</v>
      </c>
    </row>
    <row r="7" spans="1:2" x14ac:dyDescent="0.3">
      <c r="A7" s="4" t="s">
        <v>11</v>
      </c>
      <c r="B7">
        <v>6300</v>
      </c>
    </row>
    <row r="8" spans="1:2" x14ac:dyDescent="0.3">
      <c r="A8" s="4" t="s">
        <v>13</v>
      </c>
      <c r="B8">
        <v>13500</v>
      </c>
    </row>
    <row r="9" spans="1:2" x14ac:dyDescent="0.3">
      <c r="A9" s="4" t="s">
        <v>14</v>
      </c>
      <c r="B9">
        <v>2700</v>
      </c>
    </row>
    <row r="10" spans="1:2" x14ac:dyDescent="0.3">
      <c r="A10" s="4" t="s">
        <v>8</v>
      </c>
      <c r="B10">
        <v>2500</v>
      </c>
    </row>
    <row r="11" spans="1:2" x14ac:dyDescent="0.3">
      <c r="A11" s="4" t="s">
        <v>19</v>
      </c>
      <c r="B11">
        <v>6400</v>
      </c>
    </row>
    <row r="12" spans="1:2" x14ac:dyDescent="0.3">
      <c r="A12" s="4" t="s">
        <v>15</v>
      </c>
      <c r="B12">
        <v>16000</v>
      </c>
    </row>
    <row r="13" spans="1:2" x14ac:dyDescent="0.3">
      <c r="A13" s="4" t="s">
        <v>22</v>
      </c>
      <c r="B13">
        <v>79400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B6F5C-D4B9-41EE-A353-B3936294648D}">
  <dimension ref="A3:D11"/>
  <sheetViews>
    <sheetView tabSelected="1" workbookViewId="0">
      <selection activeCell="C7" sqref="C7"/>
    </sheetView>
  </sheetViews>
  <sheetFormatPr defaultRowHeight="14.4" x14ac:dyDescent="0.3"/>
  <cols>
    <col min="1" max="1" width="24.33203125" bestFit="1" customWidth="1"/>
    <col min="2" max="2" width="15.5546875" bestFit="1" customWidth="1"/>
    <col min="3" max="4" width="12" bestFit="1" customWidth="1"/>
  </cols>
  <sheetData>
    <row r="3" spans="1:4" x14ac:dyDescent="0.3">
      <c r="A3" s="3" t="s">
        <v>24</v>
      </c>
      <c r="B3" s="3" t="s">
        <v>35</v>
      </c>
    </row>
    <row r="4" spans="1:4" x14ac:dyDescent="0.3">
      <c r="A4" s="3" t="s">
        <v>45</v>
      </c>
      <c r="B4" t="s">
        <v>9</v>
      </c>
      <c r="C4" t="s">
        <v>6</v>
      </c>
      <c r="D4" t="s">
        <v>22</v>
      </c>
    </row>
    <row r="5" spans="1:4" x14ac:dyDescent="0.3">
      <c r="A5" s="4" t="s">
        <v>26</v>
      </c>
      <c r="B5" s="7">
        <v>675</v>
      </c>
      <c r="C5" s="7">
        <v>980</v>
      </c>
      <c r="D5" s="7">
        <v>792.30769230769226</v>
      </c>
    </row>
    <row r="6" spans="1:4" x14ac:dyDescent="0.3">
      <c r="A6" s="4" t="s">
        <v>27</v>
      </c>
      <c r="B6" s="7">
        <v>700</v>
      </c>
      <c r="C6" s="5">
        <v>666.66666666666663</v>
      </c>
      <c r="D6" s="7">
        <v>692.30769230769226</v>
      </c>
    </row>
    <row r="7" spans="1:4" x14ac:dyDescent="0.3">
      <c r="A7" s="4" t="s">
        <v>28</v>
      </c>
      <c r="B7" s="5">
        <v>914.28571428571433</v>
      </c>
      <c r="C7" s="7">
        <v>855.55555555555554</v>
      </c>
      <c r="D7" s="7">
        <v>881.25</v>
      </c>
    </row>
    <row r="8" spans="1:4" x14ac:dyDescent="0.3">
      <c r="A8" s="4" t="s">
        <v>29</v>
      </c>
      <c r="B8" s="5">
        <v>1742.8571428571429</v>
      </c>
      <c r="C8" s="7">
        <v>1733.3333333333333</v>
      </c>
      <c r="D8" s="7">
        <v>1737.5</v>
      </c>
    </row>
    <row r="9" spans="1:4" x14ac:dyDescent="0.3">
      <c r="A9" s="4" t="s">
        <v>30</v>
      </c>
      <c r="B9" s="7">
        <v>1066.6666666666667</v>
      </c>
      <c r="C9" s="7">
        <v>1775</v>
      </c>
      <c r="D9" s="7">
        <v>1581.8181818181818</v>
      </c>
    </row>
    <row r="10" spans="1:4" x14ac:dyDescent="0.3">
      <c r="A10" s="4" t="s">
        <v>31</v>
      </c>
      <c r="B10" s="7"/>
      <c r="C10" s="7">
        <v>800</v>
      </c>
      <c r="D10" s="7">
        <v>800</v>
      </c>
    </row>
    <row r="11" spans="1:4" x14ac:dyDescent="0.3">
      <c r="A11" s="4" t="s">
        <v>22</v>
      </c>
      <c r="B11" s="7">
        <v>977.14285714285711</v>
      </c>
      <c r="C11" s="7">
        <v>1291.4285714285713</v>
      </c>
      <c r="D11" s="7">
        <v>1134.2857142857142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B4A53-06FD-49CB-B13F-7A2A4C7D0231}">
  <dimension ref="A3:D8"/>
  <sheetViews>
    <sheetView workbookViewId="0">
      <selection activeCell="H21" sqref="H21"/>
    </sheetView>
  </sheetViews>
  <sheetFormatPr defaultRowHeight="14.4" x14ac:dyDescent="0.3"/>
  <cols>
    <col min="1" max="1" width="47.21875" bestFit="1" customWidth="1"/>
    <col min="2" max="2" width="9.33203125" bestFit="1" customWidth="1"/>
    <col min="3" max="3" width="5.21875" bestFit="1" customWidth="1"/>
    <col min="4" max="4" width="10.77734375" bestFit="1" customWidth="1"/>
  </cols>
  <sheetData>
    <row r="3" spans="1:4" x14ac:dyDescent="0.3">
      <c r="A3" s="3" t="s">
        <v>33</v>
      </c>
      <c r="B3" s="3" t="s">
        <v>1</v>
      </c>
    </row>
    <row r="4" spans="1:4" x14ac:dyDescent="0.3">
      <c r="A4" s="3" t="s">
        <v>34</v>
      </c>
      <c r="B4" t="s">
        <v>9</v>
      </c>
      <c r="C4" t="s">
        <v>6</v>
      </c>
      <c r="D4" t="s">
        <v>22</v>
      </c>
    </row>
    <row r="5" spans="1:4" x14ac:dyDescent="0.3">
      <c r="A5" s="4" t="s">
        <v>16</v>
      </c>
      <c r="B5">
        <v>266</v>
      </c>
      <c r="C5">
        <v>68</v>
      </c>
      <c r="D5">
        <v>334</v>
      </c>
    </row>
    <row r="6" spans="1:4" x14ac:dyDescent="0.3">
      <c r="A6" s="4" t="s">
        <v>10</v>
      </c>
      <c r="B6">
        <v>711</v>
      </c>
      <c r="C6">
        <v>356</v>
      </c>
      <c r="D6">
        <v>1067</v>
      </c>
    </row>
    <row r="7" spans="1:4" x14ac:dyDescent="0.3">
      <c r="A7" s="4" t="s">
        <v>7</v>
      </c>
      <c r="B7">
        <v>249</v>
      </c>
      <c r="C7">
        <v>835</v>
      </c>
      <c r="D7">
        <v>1084</v>
      </c>
    </row>
    <row r="8" spans="1:4" x14ac:dyDescent="0.3">
      <c r="A8" s="4" t="s">
        <v>22</v>
      </c>
      <c r="B8">
        <v>1226</v>
      </c>
      <c r="C8">
        <v>1259</v>
      </c>
      <c r="D8">
        <v>2485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19A7C-774A-4EE1-ACA7-CE11C043BEA6}">
  <dimension ref="A3:E14"/>
  <sheetViews>
    <sheetView workbookViewId="0">
      <selection activeCell="D19" sqref="D19"/>
    </sheetView>
  </sheetViews>
  <sheetFormatPr defaultRowHeight="14.4" x14ac:dyDescent="0.3"/>
  <cols>
    <col min="1" max="1" width="55" bestFit="1" customWidth="1"/>
    <col min="2" max="2" width="15.5546875" bestFit="1" customWidth="1"/>
    <col min="3" max="3" width="8.88671875" bestFit="1" customWidth="1"/>
    <col min="4" max="4" width="6.88671875" bestFit="1" customWidth="1"/>
    <col min="5" max="5" width="10.77734375" bestFit="1" customWidth="1"/>
    <col min="6" max="6" width="12.21875" bestFit="1" customWidth="1"/>
    <col min="7" max="7" width="14.77734375" bestFit="1" customWidth="1"/>
    <col min="8" max="8" width="12.21875" bestFit="1" customWidth="1"/>
    <col min="9" max="9" width="7.33203125" bestFit="1" customWidth="1"/>
    <col min="10" max="10" width="6.44140625" bestFit="1" customWidth="1"/>
    <col min="11" max="11" width="10.77734375" bestFit="1" customWidth="1"/>
  </cols>
  <sheetData>
    <row r="3" spans="1:5" x14ac:dyDescent="0.3">
      <c r="A3" s="3" t="s">
        <v>36</v>
      </c>
      <c r="B3" s="3" t="s">
        <v>35</v>
      </c>
    </row>
    <row r="4" spans="1:5" x14ac:dyDescent="0.3">
      <c r="A4" s="3" t="s">
        <v>21</v>
      </c>
      <c r="B4" t="s">
        <v>16</v>
      </c>
      <c r="C4" t="s">
        <v>10</v>
      </c>
      <c r="D4" t="s">
        <v>7</v>
      </c>
      <c r="E4" t="s">
        <v>22</v>
      </c>
    </row>
    <row r="5" spans="1:5" x14ac:dyDescent="0.3">
      <c r="A5" s="4" t="s">
        <v>12</v>
      </c>
      <c r="C5">
        <v>8000</v>
      </c>
      <c r="D5">
        <v>1000</v>
      </c>
      <c r="E5">
        <v>9000</v>
      </c>
    </row>
    <row r="6" spans="1:5" x14ac:dyDescent="0.3">
      <c r="A6" s="4" t="s">
        <v>17</v>
      </c>
      <c r="B6">
        <v>2400</v>
      </c>
      <c r="D6">
        <v>600</v>
      </c>
      <c r="E6">
        <v>3000</v>
      </c>
    </row>
    <row r="7" spans="1:5" x14ac:dyDescent="0.3">
      <c r="A7" s="4" t="s">
        <v>18</v>
      </c>
      <c r="C7">
        <v>5000</v>
      </c>
      <c r="D7">
        <v>15000</v>
      </c>
      <c r="E7">
        <v>20000</v>
      </c>
    </row>
    <row r="8" spans="1:5" x14ac:dyDescent="0.3">
      <c r="A8" s="4" t="s">
        <v>11</v>
      </c>
      <c r="C8">
        <v>3500</v>
      </c>
      <c r="D8">
        <v>2800</v>
      </c>
      <c r="E8">
        <v>6300</v>
      </c>
    </row>
    <row r="9" spans="1:5" x14ac:dyDescent="0.3">
      <c r="A9" s="4" t="s">
        <v>13</v>
      </c>
      <c r="C9">
        <v>1500</v>
      </c>
      <c r="D9">
        <v>12000</v>
      </c>
      <c r="E9">
        <v>13500</v>
      </c>
    </row>
    <row r="10" spans="1:5" x14ac:dyDescent="0.3">
      <c r="A10" s="4" t="s">
        <v>14</v>
      </c>
      <c r="B10">
        <v>1200</v>
      </c>
      <c r="C10">
        <v>300</v>
      </c>
      <c r="D10">
        <v>1200</v>
      </c>
      <c r="E10">
        <v>2700</v>
      </c>
    </row>
    <row r="11" spans="1:5" x14ac:dyDescent="0.3">
      <c r="A11" s="4" t="s">
        <v>8</v>
      </c>
      <c r="C11">
        <v>1000</v>
      </c>
      <c r="D11">
        <v>1500</v>
      </c>
      <c r="E11">
        <v>2500</v>
      </c>
    </row>
    <row r="12" spans="1:5" x14ac:dyDescent="0.3">
      <c r="A12" s="4" t="s">
        <v>19</v>
      </c>
      <c r="B12">
        <v>800</v>
      </c>
      <c r="C12">
        <v>5600</v>
      </c>
      <c r="E12">
        <v>6400</v>
      </c>
    </row>
    <row r="13" spans="1:5" x14ac:dyDescent="0.3">
      <c r="A13" s="4" t="s">
        <v>15</v>
      </c>
      <c r="C13">
        <v>8000</v>
      </c>
      <c r="D13">
        <v>8000</v>
      </c>
      <c r="E13">
        <v>16000</v>
      </c>
    </row>
    <row r="14" spans="1:5" x14ac:dyDescent="0.3">
      <c r="A14" s="4" t="s">
        <v>22</v>
      </c>
      <c r="B14">
        <v>4400</v>
      </c>
      <c r="C14">
        <v>32900</v>
      </c>
      <c r="D14">
        <v>42100</v>
      </c>
      <c r="E14">
        <v>79400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8F53E-E5D9-423A-B375-56FECC53D0B2}">
  <dimension ref="A3:B13"/>
  <sheetViews>
    <sheetView workbookViewId="0">
      <selection activeCell="L8" sqref="L8"/>
    </sheetView>
  </sheetViews>
  <sheetFormatPr defaultRowHeight="14.4" x14ac:dyDescent="0.3"/>
  <cols>
    <col min="1" max="1" width="14.44140625" bestFit="1" customWidth="1"/>
    <col min="2" max="2" width="13.88671875" bestFit="1" customWidth="1"/>
  </cols>
  <sheetData>
    <row r="3" spans="1:2" x14ac:dyDescent="0.3">
      <c r="A3" s="3" t="s">
        <v>21</v>
      </c>
      <c r="B3" t="s">
        <v>37</v>
      </c>
    </row>
    <row r="4" spans="1:2" x14ac:dyDescent="0.3">
      <c r="A4" s="4" t="s">
        <v>12</v>
      </c>
      <c r="B4" s="5">
        <v>52.222222222222221</v>
      </c>
    </row>
    <row r="5" spans="1:2" x14ac:dyDescent="0.3">
      <c r="A5" s="4" t="s">
        <v>17</v>
      </c>
      <c r="B5" s="5">
        <v>43.6</v>
      </c>
    </row>
    <row r="6" spans="1:2" x14ac:dyDescent="0.3">
      <c r="A6" s="4" t="s">
        <v>18</v>
      </c>
      <c r="B6" s="5">
        <v>64.875</v>
      </c>
    </row>
    <row r="7" spans="1:2" x14ac:dyDescent="0.3">
      <c r="A7" s="4" t="s">
        <v>11</v>
      </c>
      <c r="B7" s="5">
        <v>54.666666666666664</v>
      </c>
    </row>
    <row r="8" spans="1:2" x14ac:dyDescent="0.3">
      <c r="A8" s="4" t="s">
        <v>13</v>
      </c>
      <c r="B8" s="5">
        <v>54</v>
      </c>
    </row>
    <row r="9" spans="1:2" x14ac:dyDescent="0.3">
      <c r="A9" s="4" t="s">
        <v>14</v>
      </c>
      <c r="B9" s="5">
        <v>46.666666666666664</v>
      </c>
    </row>
    <row r="10" spans="1:2" x14ac:dyDescent="0.3">
      <c r="A10" s="4" t="s">
        <v>8</v>
      </c>
      <c r="B10" s="5">
        <v>38.6</v>
      </c>
    </row>
    <row r="11" spans="1:2" x14ac:dyDescent="0.3">
      <c r="A11" s="4" t="s">
        <v>19</v>
      </c>
      <c r="B11" s="5">
        <v>42.5</v>
      </c>
    </row>
    <row r="12" spans="1:2" x14ac:dyDescent="0.3">
      <c r="A12" s="4" t="s">
        <v>15</v>
      </c>
      <c r="B12" s="5">
        <v>61.625</v>
      </c>
    </row>
    <row r="13" spans="1:2" x14ac:dyDescent="0.3">
      <c r="A13" s="4" t="s">
        <v>22</v>
      </c>
      <c r="B13" s="5">
        <v>51.871428571428574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2F6B-34E1-4706-B4CB-CD34FCBC6B1D}">
  <dimension ref="A3:B13"/>
  <sheetViews>
    <sheetView workbookViewId="0">
      <selection activeCell="B21" sqref="B21"/>
    </sheetView>
  </sheetViews>
  <sheetFormatPr defaultRowHeight="14.4" x14ac:dyDescent="0.3"/>
  <cols>
    <col min="1" max="1" width="18.6640625" bestFit="1" customWidth="1"/>
    <col min="2" max="2" width="41.109375" bestFit="1" customWidth="1"/>
  </cols>
  <sheetData>
    <row r="3" spans="1:2" x14ac:dyDescent="0.3">
      <c r="A3" s="3" t="s">
        <v>39</v>
      </c>
      <c r="B3" t="s">
        <v>38</v>
      </c>
    </row>
    <row r="4" spans="1:2" x14ac:dyDescent="0.3">
      <c r="A4" s="4" t="s">
        <v>14</v>
      </c>
      <c r="B4" s="6">
        <v>0.12857142857142856</v>
      </c>
    </row>
    <row r="5" spans="1:2" x14ac:dyDescent="0.3">
      <c r="A5" s="4" t="s">
        <v>12</v>
      </c>
      <c r="B5" s="6">
        <v>0.12857142857142856</v>
      </c>
    </row>
    <row r="6" spans="1:2" x14ac:dyDescent="0.3">
      <c r="A6" s="4" t="s">
        <v>11</v>
      </c>
      <c r="B6" s="6">
        <v>0.12857142857142856</v>
      </c>
    </row>
    <row r="7" spans="1:2" x14ac:dyDescent="0.3">
      <c r="A7" s="4" t="s">
        <v>13</v>
      </c>
      <c r="B7" s="6">
        <v>0.12857142857142856</v>
      </c>
    </row>
    <row r="8" spans="1:2" x14ac:dyDescent="0.3">
      <c r="A8" s="4" t="s">
        <v>19</v>
      </c>
      <c r="B8" s="6">
        <v>0.11428571428571428</v>
      </c>
    </row>
    <row r="9" spans="1:2" x14ac:dyDescent="0.3">
      <c r="A9" s="4" t="s">
        <v>18</v>
      </c>
      <c r="B9" s="6">
        <v>0.11428571428571428</v>
      </c>
    </row>
    <row r="10" spans="1:2" x14ac:dyDescent="0.3">
      <c r="A10" s="4" t="s">
        <v>15</v>
      </c>
      <c r="B10" s="6">
        <v>0.11428571428571428</v>
      </c>
    </row>
    <row r="11" spans="1:2" x14ac:dyDescent="0.3">
      <c r="A11" s="4" t="s">
        <v>17</v>
      </c>
      <c r="B11" s="6">
        <v>7.1428571428571425E-2</v>
      </c>
    </row>
    <row r="12" spans="1:2" x14ac:dyDescent="0.3">
      <c r="A12" s="4" t="s">
        <v>8</v>
      </c>
      <c r="B12" s="6">
        <v>7.1428571428571425E-2</v>
      </c>
    </row>
    <row r="13" spans="1:2" x14ac:dyDescent="0.3">
      <c r="A13" s="4" t="s">
        <v>22</v>
      </c>
      <c r="B13" s="6">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FD6B-B0CE-42AE-89F5-23DB23D21088}">
  <dimension ref="A3:B8"/>
  <sheetViews>
    <sheetView workbookViewId="0">
      <selection activeCell="L21" sqref="L21"/>
    </sheetView>
  </sheetViews>
  <sheetFormatPr defaultRowHeight="14.4" x14ac:dyDescent="0.3"/>
  <cols>
    <col min="1" max="1" width="16.33203125" bestFit="1" customWidth="1"/>
    <col min="2" max="3" width="21.109375" bestFit="1" customWidth="1"/>
  </cols>
  <sheetData>
    <row r="3" spans="1:2" x14ac:dyDescent="0.3">
      <c r="A3" s="3" t="s">
        <v>40</v>
      </c>
      <c r="B3" t="s">
        <v>23</v>
      </c>
    </row>
    <row r="4" spans="1:2" x14ac:dyDescent="0.3">
      <c r="A4" s="4" t="s">
        <v>41</v>
      </c>
      <c r="B4">
        <v>9900</v>
      </c>
    </row>
    <row r="5" spans="1:2" x14ac:dyDescent="0.3">
      <c r="A5" s="4" t="s">
        <v>42</v>
      </c>
      <c r="B5">
        <v>27900</v>
      </c>
    </row>
    <row r="6" spans="1:2" x14ac:dyDescent="0.3">
      <c r="A6" s="4" t="s">
        <v>43</v>
      </c>
      <c r="B6">
        <v>31400</v>
      </c>
    </row>
    <row r="7" spans="1:2" x14ac:dyDescent="0.3">
      <c r="A7" s="4" t="s">
        <v>44</v>
      </c>
      <c r="B7">
        <v>10200</v>
      </c>
    </row>
    <row r="8" spans="1:2" x14ac:dyDescent="0.3">
      <c r="A8" s="4" t="s">
        <v>22</v>
      </c>
      <c r="B8">
        <v>79400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3B0C0-8581-44CB-BF92-88D696DD0849}">
  <dimension ref="A3:F11"/>
  <sheetViews>
    <sheetView workbookViewId="0">
      <selection activeCell="C18" sqref="C18"/>
    </sheetView>
  </sheetViews>
  <sheetFormatPr defaultRowHeight="14.4" x14ac:dyDescent="0.3"/>
  <cols>
    <col min="1" max="1" width="21.109375" bestFit="1" customWidth="1"/>
    <col min="2" max="2" width="15.5546875" bestFit="1" customWidth="1"/>
    <col min="3" max="5" width="7" bestFit="1" customWidth="1"/>
    <col min="6" max="6" width="10.77734375" bestFit="1" customWidth="1"/>
    <col min="7" max="10" width="8.77734375" bestFit="1" customWidth="1"/>
    <col min="11" max="18" width="10.77734375" bestFit="1" customWidth="1"/>
    <col min="19" max="27" width="9.77734375" bestFit="1" customWidth="1"/>
    <col min="28" max="34" width="10.77734375" bestFit="1" customWidth="1"/>
    <col min="35" max="55" width="9.77734375" bestFit="1" customWidth="1"/>
    <col min="56" max="67" width="8.77734375" bestFit="1" customWidth="1"/>
    <col min="68" max="71" width="9.77734375" bestFit="1" customWidth="1"/>
    <col min="72" max="72" width="10.77734375" bestFit="1" customWidth="1"/>
  </cols>
  <sheetData>
    <row r="3" spans="1:6" x14ac:dyDescent="0.3">
      <c r="A3" s="3" t="s">
        <v>48</v>
      </c>
      <c r="B3" s="3" t="s">
        <v>35</v>
      </c>
    </row>
    <row r="4" spans="1:6" x14ac:dyDescent="0.3">
      <c r="B4" t="s">
        <v>41</v>
      </c>
      <c r="C4" t="s">
        <v>42</v>
      </c>
      <c r="D4" t="s">
        <v>43</v>
      </c>
      <c r="E4" t="s">
        <v>44</v>
      </c>
      <c r="F4" t="s">
        <v>22</v>
      </c>
    </row>
    <row r="7" spans="1:6" x14ac:dyDescent="0.3">
      <c r="A7" s="3" t="s">
        <v>21</v>
      </c>
    </row>
    <row r="8" spans="1:6" x14ac:dyDescent="0.3">
      <c r="A8" s="4" t="s">
        <v>16</v>
      </c>
      <c r="B8">
        <v>600</v>
      </c>
      <c r="C8">
        <v>1200</v>
      </c>
      <c r="D8">
        <v>1500</v>
      </c>
      <c r="E8">
        <v>1100</v>
      </c>
      <c r="F8">
        <v>4400</v>
      </c>
    </row>
    <row r="9" spans="1:6" x14ac:dyDescent="0.3">
      <c r="A9" s="4" t="s">
        <v>10</v>
      </c>
      <c r="B9">
        <v>5000</v>
      </c>
      <c r="C9">
        <v>9000</v>
      </c>
      <c r="D9">
        <v>14400</v>
      </c>
      <c r="E9">
        <v>4500</v>
      </c>
      <c r="F9">
        <v>32900</v>
      </c>
    </row>
    <row r="10" spans="1:6" x14ac:dyDescent="0.3">
      <c r="A10" s="4" t="s">
        <v>7</v>
      </c>
      <c r="B10">
        <v>4300</v>
      </c>
      <c r="C10">
        <v>17700</v>
      </c>
      <c r="D10">
        <v>15500</v>
      </c>
      <c r="E10">
        <v>4600</v>
      </c>
      <c r="F10">
        <v>42100</v>
      </c>
    </row>
    <row r="11" spans="1:6" x14ac:dyDescent="0.3">
      <c r="A11" s="4" t="s">
        <v>22</v>
      </c>
      <c r="B11">
        <v>9900</v>
      </c>
      <c r="C11">
        <v>27900</v>
      </c>
      <c r="D11">
        <v>31400</v>
      </c>
      <c r="E11">
        <v>10200</v>
      </c>
      <c r="F11">
        <v>79400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C3F28-0CFB-4500-B652-21C398D4637B}">
  <dimension ref="A1"/>
  <sheetViews>
    <sheetView showGridLines="0" showRowColHeaders="0" zoomScale="96" workbookViewId="0">
      <selection activeCell="K24" sqref="K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1"/>
  <sheetViews>
    <sheetView workbookViewId="0">
      <selection activeCell="F14" sqref="A1:G71"/>
    </sheetView>
  </sheetViews>
  <sheetFormatPr defaultRowHeight="14.4" x14ac:dyDescent="0.3"/>
  <cols>
    <col min="1" max="1" width="9.77734375" bestFit="1" customWidth="1"/>
    <col min="2" max="2" width="14.6640625" bestFit="1" customWidth="1"/>
    <col min="3" max="3" width="7.109375" bestFit="1" customWidth="1"/>
    <col min="4" max="4" width="4.21875" bestFit="1" customWidth="1"/>
    <col min="5" max="5" width="14.44140625" bestFit="1" customWidth="1"/>
    <col min="6" max="6" width="17" bestFit="1" customWidth="1"/>
    <col min="7" max="7" width="14.5546875" bestFit="1" customWidth="1"/>
  </cols>
  <sheetData>
    <row r="1" spans="1:7" x14ac:dyDescent="0.3">
      <c r="A1" s="1" t="s">
        <v>0</v>
      </c>
      <c r="B1" s="1" t="s">
        <v>20</v>
      </c>
      <c r="C1" s="1" t="s">
        <v>1</v>
      </c>
      <c r="D1" s="1" t="s">
        <v>2</v>
      </c>
      <c r="E1" s="1" t="s">
        <v>3</v>
      </c>
      <c r="F1" s="1" t="s">
        <v>4</v>
      </c>
      <c r="G1" s="1" t="s">
        <v>5</v>
      </c>
    </row>
    <row r="2" spans="1:7" x14ac:dyDescent="0.3">
      <c r="A2">
        <v>1</v>
      </c>
      <c r="B2" s="2">
        <v>44197</v>
      </c>
      <c r="C2" t="s">
        <v>6</v>
      </c>
      <c r="D2">
        <v>45</v>
      </c>
      <c r="E2" t="s">
        <v>7</v>
      </c>
      <c r="F2" t="s">
        <v>8</v>
      </c>
      <c r="G2">
        <v>500</v>
      </c>
    </row>
    <row r="3" spans="1:7" x14ac:dyDescent="0.3">
      <c r="A3">
        <v>2</v>
      </c>
      <c r="B3" s="2">
        <v>44198</v>
      </c>
      <c r="C3" t="s">
        <v>9</v>
      </c>
      <c r="D3">
        <v>32</v>
      </c>
      <c r="E3" t="s">
        <v>10</v>
      </c>
      <c r="F3" t="s">
        <v>11</v>
      </c>
      <c r="G3">
        <v>700</v>
      </c>
    </row>
    <row r="4" spans="1:7" x14ac:dyDescent="0.3">
      <c r="A4">
        <v>3</v>
      </c>
      <c r="B4" s="2">
        <v>44199</v>
      </c>
      <c r="C4" t="s">
        <v>9</v>
      </c>
      <c r="D4">
        <v>55</v>
      </c>
      <c r="E4" t="s">
        <v>7</v>
      </c>
      <c r="F4" t="s">
        <v>12</v>
      </c>
      <c r="G4">
        <v>1000</v>
      </c>
    </row>
    <row r="5" spans="1:7" x14ac:dyDescent="0.3">
      <c r="A5">
        <v>4</v>
      </c>
      <c r="B5" s="2">
        <v>44200</v>
      </c>
      <c r="C5" t="s">
        <v>6</v>
      </c>
      <c r="D5">
        <v>68</v>
      </c>
      <c r="E5" t="s">
        <v>10</v>
      </c>
      <c r="F5" t="s">
        <v>13</v>
      </c>
      <c r="G5">
        <v>1500</v>
      </c>
    </row>
    <row r="6" spans="1:7" x14ac:dyDescent="0.3">
      <c r="A6">
        <v>5</v>
      </c>
      <c r="B6" s="2">
        <v>44201</v>
      </c>
      <c r="C6" t="s">
        <v>9</v>
      </c>
      <c r="D6">
        <v>40</v>
      </c>
      <c r="E6" t="s">
        <v>7</v>
      </c>
      <c r="F6" t="s">
        <v>14</v>
      </c>
      <c r="G6">
        <v>300</v>
      </c>
    </row>
    <row r="7" spans="1:7" x14ac:dyDescent="0.3">
      <c r="A7">
        <v>6</v>
      </c>
      <c r="B7" s="2">
        <v>44202</v>
      </c>
      <c r="C7" t="s">
        <v>6</v>
      </c>
      <c r="D7">
        <v>75</v>
      </c>
      <c r="E7" t="s">
        <v>10</v>
      </c>
      <c r="F7" t="s">
        <v>15</v>
      </c>
      <c r="G7">
        <v>2000</v>
      </c>
    </row>
    <row r="8" spans="1:7" x14ac:dyDescent="0.3">
      <c r="A8">
        <v>7</v>
      </c>
      <c r="B8" s="2">
        <v>44203</v>
      </c>
      <c r="C8" t="s">
        <v>9</v>
      </c>
      <c r="D8">
        <v>28</v>
      </c>
      <c r="E8" t="s">
        <v>16</v>
      </c>
      <c r="F8" t="s">
        <v>17</v>
      </c>
      <c r="G8">
        <v>600</v>
      </c>
    </row>
    <row r="9" spans="1:7" x14ac:dyDescent="0.3">
      <c r="A9">
        <v>8</v>
      </c>
      <c r="B9" s="2">
        <v>44204</v>
      </c>
      <c r="C9" t="s">
        <v>6</v>
      </c>
      <c r="D9">
        <v>62</v>
      </c>
      <c r="E9" t="s">
        <v>7</v>
      </c>
      <c r="F9" t="s">
        <v>18</v>
      </c>
      <c r="G9">
        <v>2500</v>
      </c>
    </row>
    <row r="10" spans="1:7" x14ac:dyDescent="0.3">
      <c r="A10">
        <v>9</v>
      </c>
      <c r="B10" s="2">
        <v>44205</v>
      </c>
      <c r="C10" t="s">
        <v>9</v>
      </c>
      <c r="D10">
        <v>48</v>
      </c>
      <c r="E10" t="s">
        <v>10</v>
      </c>
      <c r="F10" t="s">
        <v>19</v>
      </c>
      <c r="G10">
        <v>800</v>
      </c>
    </row>
    <row r="11" spans="1:7" x14ac:dyDescent="0.3">
      <c r="A11">
        <v>10</v>
      </c>
      <c r="B11" s="2">
        <v>44888</v>
      </c>
      <c r="C11" t="s">
        <v>6</v>
      </c>
      <c r="D11">
        <v>50</v>
      </c>
      <c r="E11" t="s">
        <v>7</v>
      </c>
      <c r="F11" t="s">
        <v>11</v>
      </c>
      <c r="G11">
        <v>700</v>
      </c>
    </row>
    <row r="12" spans="1:7" x14ac:dyDescent="0.3">
      <c r="A12">
        <v>11</v>
      </c>
      <c r="B12" s="2">
        <v>44889</v>
      </c>
      <c r="C12" t="s">
        <v>9</v>
      </c>
      <c r="D12">
        <v>65</v>
      </c>
      <c r="E12" t="s">
        <v>10</v>
      </c>
      <c r="F12" t="s">
        <v>12</v>
      </c>
      <c r="G12">
        <v>1000</v>
      </c>
    </row>
    <row r="13" spans="1:7" x14ac:dyDescent="0.3">
      <c r="A13">
        <v>12</v>
      </c>
      <c r="B13" s="2">
        <v>44890</v>
      </c>
      <c r="C13" t="s">
        <v>6</v>
      </c>
      <c r="D13">
        <v>55</v>
      </c>
      <c r="E13" t="s">
        <v>7</v>
      </c>
      <c r="F13" t="s">
        <v>13</v>
      </c>
      <c r="G13">
        <v>1500</v>
      </c>
    </row>
    <row r="14" spans="1:7" x14ac:dyDescent="0.3">
      <c r="A14">
        <v>13</v>
      </c>
      <c r="B14" s="2">
        <v>44891</v>
      </c>
      <c r="C14" t="s">
        <v>9</v>
      </c>
      <c r="D14">
        <v>38</v>
      </c>
      <c r="E14" t="s">
        <v>16</v>
      </c>
      <c r="F14" t="s">
        <v>14</v>
      </c>
      <c r="G14">
        <v>300</v>
      </c>
    </row>
    <row r="15" spans="1:7" x14ac:dyDescent="0.3">
      <c r="A15">
        <v>14</v>
      </c>
      <c r="B15" s="2">
        <v>44892</v>
      </c>
      <c r="C15" t="s">
        <v>6</v>
      </c>
      <c r="D15">
        <v>72</v>
      </c>
      <c r="E15" t="s">
        <v>7</v>
      </c>
      <c r="F15" t="s">
        <v>15</v>
      </c>
      <c r="G15">
        <v>2000</v>
      </c>
    </row>
    <row r="16" spans="1:7" x14ac:dyDescent="0.3">
      <c r="A16">
        <v>15</v>
      </c>
      <c r="B16" s="2">
        <v>44893</v>
      </c>
      <c r="C16" t="s">
        <v>9</v>
      </c>
      <c r="D16">
        <v>30</v>
      </c>
      <c r="E16" t="s">
        <v>10</v>
      </c>
      <c r="F16" t="s">
        <v>8</v>
      </c>
      <c r="G16">
        <v>500</v>
      </c>
    </row>
    <row r="17" spans="1:7" x14ac:dyDescent="0.3">
      <c r="A17">
        <v>16</v>
      </c>
      <c r="B17" s="2">
        <v>44894</v>
      </c>
      <c r="C17" t="s">
        <v>6</v>
      </c>
      <c r="D17">
        <v>58</v>
      </c>
      <c r="E17" t="s">
        <v>7</v>
      </c>
      <c r="F17" t="s">
        <v>18</v>
      </c>
      <c r="G17">
        <v>2500</v>
      </c>
    </row>
    <row r="18" spans="1:7" x14ac:dyDescent="0.3">
      <c r="A18">
        <v>17</v>
      </c>
      <c r="B18" s="2">
        <v>44895</v>
      </c>
      <c r="C18" t="s">
        <v>9</v>
      </c>
      <c r="D18">
        <v>42</v>
      </c>
      <c r="E18" t="s">
        <v>10</v>
      </c>
      <c r="F18" t="s">
        <v>11</v>
      </c>
      <c r="G18">
        <v>700</v>
      </c>
    </row>
    <row r="19" spans="1:7" x14ac:dyDescent="0.3">
      <c r="A19">
        <v>18</v>
      </c>
      <c r="B19" s="2">
        <v>44896</v>
      </c>
      <c r="C19" t="s">
        <v>6</v>
      </c>
      <c r="D19">
        <v>70</v>
      </c>
      <c r="E19" t="s">
        <v>10</v>
      </c>
      <c r="F19" t="s">
        <v>12</v>
      </c>
      <c r="G19">
        <v>1000</v>
      </c>
    </row>
    <row r="20" spans="1:7" x14ac:dyDescent="0.3">
      <c r="A20">
        <v>19</v>
      </c>
      <c r="B20" s="2">
        <v>44897</v>
      </c>
      <c r="C20" t="s">
        <v>9</v>
      </c>
      <c r="D20">
        <v>35</v>
      </c>
      <c r="E20" t="s">
        <v>7</v>
      </c>
      <c r="F20" t="s">
        <v>13</v>
      </c>
      <c r="G20">
        <v>1500</v>
      </c>
    </row>
    <row r="21" spans="1:7" x14ac:dyDescent="0.3">
      <c r="A21">
        <v>20</v>
      </c>
      <c r="B21" s="2">
        <v>44898</v>
      </c>
      <c r="C21" t="s">
        <v>6</v>
      </c>
      <c r="D21">
        <v>80</v>
      </c>
      <c r="E21" t="s">
        <v>10</v>
      </c>
      <c r="F21" t="s">
        <v>19</v>
      </c>
      <c r="G21">
        <v>800</v>
      </c>
    </row>
    <row r="22" spans="1:7" x14ac:dyDescent="0.3">
      <c r="A22">
        <v>21</v>
      </c>
      <c r="B22" s="2">
        <v>44899</v>
      </c>
      <c r="C22" t="s">
        <v>9</v>
      </c>
      <c r="D22">
        <v>45</v>
      </c>
      <c r="E22" t="s">
        <v>16</v>
      </c>
      <c r="F22" t="s">
        <v>17</v>
      </c>
      <c r="G22">
        <v>600</v>
      </c>
    </row>
    <row r="23" spans="1:7" x14ac:dyDescent="0.3">
      <c r="A23">
        <v>22</v>
      </c>
      <c r="B23" s="2">
        <v>44900</v>
      </c>
      <c r="C23" t="s">
        <v>6</v>
      </c>
      <c r="D23">
        <v>60</v>
      </c>
      <c r="E23" t="s">
        <v>7</v>
      </c>
      <c r="F23" t="s">
        <v>14</v>
      </c>
      <c r="G23">
        <v>300</v>
      </c>
    </row>
    <row r="24" spans="1:7" x14ac:dyDescent="0.3">
      <c r="A24">
        <v>23</v>
      </c>
      <c r="B24" s="2">
        <v>44901</v>
      </c>
      <c r="C24" t="s">
        <v>9</v>
      </c>
      <c r="D24">
        <v>50</v>
      </c>
      <c r="E24" t="s">
        <v>10</v>
      </c>
      <c r="F24" t="s">
        <v>15</v>
      </c>
      <c r="G24">
        <v>2000</v>
      </c>
    </row>
    <row r="25" spans="1:7" x14ac:dyDescent="0.3">
      <c r="A25">
        <v>24</v>
      </c>
      <c r="B25" s="2">
        <v>44902</v>
      </c>
      <c r="C25" t="s">
        <v>6</v>
      </c>
      <c r="D25">
        <v>65</v>
      </c>
      <c r="E25" t="s">
        <v>7</v>
      </c>
      <c r="F25" t="s">
        <v>18</v>
      </c>
      <c r="G25">
        <v>2500</v>
      </c>
    </row>
    <row r="26" spans="1:7" x14ac:dyDescent="0.3">
      <c r="A26">
        <v>25</v>
      </c>
      <c r="B26" s="2">
        <v>44903</v>
      </c>
      <c r="C26" t="s">
        <v>9</v>
      </c>
      <c r="D26">
        <v>40</v>
      </c>
      <c r="E26" t="s">
        <v>10</v>
      </c>
      <c r="F26" t="s">
        <v>19</v>
      </c>
      <c r="G26">
        <v>800</v>
      </c>
    </row>
    <row r="27" spans="1:7" x14ac:dyDescent="0.3">
      <c r="A27">
        <v>26</v>
      </c>
      <c r="B27" s="2">
        <v>44904</v>
      </c>
      <c r="C27" t="s">
        <v>6</v>
      </c>
      <c r="D27">
        <v>55</v>
      </c>
      <c r="E27" t="s">
        <v>7</v>
      </c>
      <c r="F27" t="s">
        <v>11</v>
      </c>
      <c r="G27">
        <v>700</v>
      </c>
    </row>
    <row r="28" spans="1:7" x14ac:dyDescent="0.3">
      <c r="A28">
        <v>27</v>
      </c>
      <c r="B28" s="2">
        <v>44905</v>
      </c>
      <c r="C28" t="s">
        <v>9</v>
      </c>
      <c r="D28">
        <v>75</v>
      </c>
      <c r="E28" t="s">
        <v>10</v>
      </c>
      <c r="F28" t="s">
        <v>12</v>
      </c>
      <c r="G28">
        <v>1000</v>
      </c>
    </row>
    <row r="29" spans="1:7" x14ac:dyDescent="0.3">
      <c r="A29">
        <v>28</v>
      </c>
      <c r="B29" s="2">
        <v>44906</v>
      </c>
      <c r="C29" t="s">
        <v>6</v>
      </c>
      <c r="D29">
        <v>58</v>
      </c>
      <c r="E29" t="s">
        <v>7</v>
      </c>
      <c r="F29" t="s">
        <v>13</v>
      </c>
      <c r="G29">
        <v>1500</v>
      </c>
    </row>
    <row r="30" spans="1:7" x14ac:dyDescent="0.3">
      <c r="A30">
        <v>29</v>
      </c>
      <c r="B30" s="2">
        <v>44907</v>
      </c>
      <c r="C30" t="s">
        <v>9</v>
      </c>
      <c r="D30">
        <v>32</v>
      </c>
      <c r="E30" t="s">
        <v>16</v>
      </c>
      <c r="F30" t="s">
        <v>14</v>
      </c>
      <c r="G30">
        <v>300</v>
      </c>
    </row>
    <row r="31" spans="1:7" x14ac:dyDescent="0.3">
      <c r="A31">
        <v>30</v>
      </c>
      <c r="B31" s="2">
        <v>44908</v>
      </c>
      <c r="C31" t="s">
        <v>6</v>
      </c>
      <c r="D31">
        <v>68</v>
      </c>
      <c r="E31" t="s">
        <v>7</v>
      </c>
      <c r="F31" t="s">
        <v>15</v>
      </c>
      <c r="G31">
        <v>2000</v>
      </c>
    </row>
    <row r="32" spans="1:7" x14ac:dyDescent="0.3">
      <c r="A32">
        <v>31</v>
      </c>
      <c r="B32" s="2">
        <v>44909</v>
      </c>
      <c r="C32" t="s">
        <v>9</v>
      </c>
      <c r="D32">
        <v>28</v>
      </c>
      <c r="E32" t="s">
        <v>10</v>
      </c>
      <c r="F32" t="s">
        <v>8</v>
      </c>
      <c r="G32">
        <v>500</v>
      </c>
    </row>
    <row r="33" spans="1:7" x14ac:dyDescent="0.3">
      <c r="A33">
        <v>32</v>
      </c>
      <c r="B33" s="2">
        <v>44910</v>
      </c>
      <c r="C33" t="s">
        <v>6</v>
      </c>
      <c r="D33">
        <v>62</v>
      </c>
      <c r="E33" t="s">
        <v>7</v>
      </c>
      <c r="F33" t="s">
        <v>18</v>
      </c>
      <c r="G33">
        <v>2500</v>
      </c>
    </row>
    <row r="34" spans="1:7" x14ac:dyDescent="0.3">
      <c r="A34">
        <v>33</v>
      </c>
      <c r="B34" s="2">
        <v>44911</v>
      </c>
      <c r="C34" t="s">
        <v>9</v>
      </c>
      <c r="D34">
        <v>48</v>
      </c>
      <c r="E34" t="s">
        <v>10</v>
      </c>
      <c r="F34" t="s">
        <v>11</v>
      </c>
      <c r="G34">
        <v>700</v>
      </c>
    </row>
    <row r="35" spans="1:7" x14ac:dyDescent="0.3">
      <c r="A35">
        <v>34</v>
      </c>
      <c r="B35" s="2">
        <v>44996</v>
      </c>
      <c r="C35" t="s">
        <v>6</v>
      </c>
      <c r="D35">
        <v>50</v>
      </c>
      <c r="E35" t="s">
        <v>10</v>
      </c>
      <c r="F35" t="s">
        <v>12</v>
      </c>
      <c r="G35">
        <v>1000</v>
      </c>
    </row>
    <row r="36" spans="1:7" x14ac:dyDescent="0.3">
      <c r="A36">
        <v>35</v>
      </c>
      <c r="B36" s="2">
        <v>44997</v>
      </c>
      <c r="C36" t="s">
        <v>9</v>
      </c>
      <c r="D36">
        <v>65</v>
      </c>
      <c r="E36" t="s">
        <v>7</v>
      </c>
      <c r="F36" t="s">
        <v>13</v>
      </c>
      <c r="G36">
        <v>1500</v>
      </c>
    </row>
    <row r="37" spans="1:7" x14ac:dyDescent="0.3">
      <c r="A37">
        <v>36</v>
      </c>
      <c r="B37" s="2">
        <v>44998</v>
      </c>
      <c r="C37" t="s">
        <v>6</v>
      </c>
      <c r="D37">
        <v>30</v>
      </c>
      <c r="E37" t="s">
        <v>10</v>
      </c>
      <c r="F37" t="s">
        <v>19</v>
      </c>
      <c r="G37">
        <v>800</v>
      </c>
    </row>
    <row r="38" spans="1:7" x14ac:dyDescent="0.3">
      <c r="A38">
        <v>37</v>
      </c>
      <c r="B38" s="2">
        <v>44999</v>
      </c>
      <c r="C38" t="s">
        <v>9</v>
      </c>
      <c r="D38">
        <v>45</v>
      </c>
      <c r="E38" t="s">
        <v>16</v>
      </c>
      <c r="F38" t="s">
        <v>17</v>
      </c>
      <c r="G38">
        <v>600</v>
      </c>
    </row>
    <row r="39" spans="1:7" x14ac:dyDescent="0.3">
      <c r="A39">
        <v>38</v>
      </c>
      <c r="B39" s="2">
        <v>45000</v>
      </c>
      <c r="C39" t="s">
        <v>6</v>
      </c>
      <c r="D39">
        <v>55</v>
      </c>
      <c r="E39" t="s">
        <v>7</v>
      </c>
      <c r="F39" t="s">
        <v>14</v>
      </c>
      <c r="G39">
        <v>300</v>
      </c>
    </row>
    <row r="40" spans="1:7" x14ac:dyDescent="0.3">
      <c r="A40">
        <v>39</v>
      </c>
      <c r="B40" s="2">
        <v>45001</v>
      </c>
      <c r="C40" t="s">
        <v>9</v>
      </c>
      <c r="D40">
        <v>60</v>
      </c>
      <c r="E40" t="s">
        <v>10</v>
      </c>
      <c r="F40" t="s">
        <v>15</v>
      </c>
      <c r="G40">
        <v>2000</v>
      </c>
    </row>
    <row r="41" spans="1:7" x14ac:dyDescent="0.3">
      <c r="A41">
        <v>40</v>
      </c>
      <c r="B41" s="2">
        <v>45002</v>
      </c>
      <c r="C41" t="s">
        <v>6</v>
      </c>
      <c r="D41">
        <v>70</v>
      </c>
      <c r="E41" t="s">
        <v>7</v>
      </c>
      <c r="F41" t="s">
        <v>18</v>
      </c>
      <c r="G41">
        <v>2500</v>
      </c>
    </row>
    <row r="42" spans="1:7" x14ac:dyDescent="0.3">
      <c r="A42">
        <v>41</v>
      </c>
      <c r="B42" s="2">
        <v>45003</v>
      </c>
      <c r="C42" t="s">
        <v>9</v>
      </c>
      <c r="D42">
        <v>40</v>
      </c>
      <c r="E42" t="s">
        <v>10</v>
      </c>
      <c r="F42" t="s">
        <v>19</v>
      </c>
      <c r="G42">
        <v>800</v>
      </c>
    </row>
    <row r="43" spans="1:7" x14ac:dyDescent="0.3">
      <c r="A43">
        <v>42</v>
      </c>
      <c r="B43" s="2">
        <v>45004</v>
      </c>
      <c r="C43" t="s">
        <v>6</v>
      </c>
      <c r="D43">
        <v>75</v>
      </c>
      <c r="E43" t="s">
        <v>7</v>
      </c>
      <c r="F43" t="s">
        <v>11</v>
      </c>
      <c r="G43">
        <v>700</v>
      </c>
    </row>
    <row r="44" spans="1:7" x14ac:dyDescent="0.3">
      <c r="A44">
        <v>43</v>
      </c>
      <c r="B44" s="2">
        <v>45005</v>
      </c>
      <c r="C44" t="s">
        <v>9</v>
      </c>
      <c r="D44">
        <v>55</v>
      </c>
      <c r="E44" t="s">
        <v>10</v>
      </c>
      <c r="F44" t="s">
        <v>12</v>
      </c>
      <c r="G44">
        <v>1000</v>
      </c>
    </row>
    <row r="45" spans="1:7" x14ac:dyDescent="0.3">
      <c r="A45">
        <v>44</v>
      </c>
      <c r="B45" s="2">
        <v>45006</v>
      </c>
      <c r="C45" t="s">
        <v>6</v>
      </c>
      <c r="D45">
        <v>28</v>
      </c>
      <c r="E45" t="s">
        <v>7</v>
      </c>
      <c r="F45" t="s">
        <v>13</v>
      </c>
      <c r="G45">
        <v>1500</v>
      </c>
    </row>
    <row r="46" spans="1:7" x14ac:dyDescent="0.3">
      <c r="A46">
        <v>45</v>
      </c>
      <c r="B46" s="2">
        <v>45007</v>
      </c>
      <c r="C46" t="s">
        <v>9</v>
      </c>
      <c r="D46">
        <v>32</v>
      </c>
      <c r="E46" t="s">
        <v>16</v>
      </c>
      <c r="F46" t="s">
        <v>14</v>
      </c>
      <c r="G46">
        <v>300</v>
      </c>
    </row>
    <row r="47" spans="1:7" x14ac:dyDescent="0.3">
      <c r="A47">
        <v>46</v>
      </c>
      <c r="B47" s="2">
        <v>45008</v>
      </c>
      <c r="C47" t="s">
        <v>6</v>
      </c>
      <c r="D47">
        <v>58</v>
      </c>
      <c r="E47" t="s">
        <v>7</v>
      </c>
      <c r="F47" t="s">
        <v>15</v>
      </c>
      <c r="G47">
        <v>2000</v>
      </c>
    </row>
    <row r="48" spans="1:7" x14ac:dyDescent="0.3">
      <c r="A48">
        <v>47</v>
      </c>
      <c r="B48" s="2">
        <v>45009</v>
      </c>
      <c r="C48" t="s">
        <v>9</v>
      </c>
      <c r="D48">
        <v>62</v>
      </c>
      <c r="E48" t="s">
        <v>10</v>
      </c>
      <c r="F48" t="s">
        <v>18</v>
      </c>
      <c r="G48">
        <v>2500</v>
      </c>
    </row>
    <row r="49" spans="1:7" x14ac:dyDescent="0.3">
      <c r="A49">
        <v>48</v>
      </c>
      <c r="B49" s="2">
        <v>45010</v>
      </c>
      <c r="C49" t="s">
        <v>6</v>
      </c>
      <c r="D49">
        <v>48</v>
      </c>
      <c r="E49" t="s">
        <v>7</v>
      </c>
      <c r="F49" t="s">
        <v>8</v>
      </c>
      <c r="G49">
        <v>500</v>
      </c>
    </row>
    <row r="50" spans="1:7" x14ac:dyDescent="0.3">
      <c r="A50">
        <v>49</v>
      </c>
      <c r="B50" s="2">
        <v>45011</v>
      </c>
      <c r="C50" t="s">
        <v>9</v>
      </c>
      <c r="D50">
        <v>65</v>
      </c>
      <c r="E50" t="s">
        <v>10</v>
      </c>
      <c r="F50" t="s">
        <v>11</v>
      </c>
      <c r="G50">
        <v>700</v>
      </c>
    </row>
    <row r="51" spans="1:7" x14ac:dyDescent="0.3">
      <c r="A51">
        <v>50</v>
      </c>
      <c r="B51" s="2">
        <v>45012</v>
      </c>
      <c r="C51" t="s">
        <v>6</v>
      </c>
      <c r="D51">
        <v>42</v>
      </c>
      <c r="E51" t="s">
        <v>10</v>
      </c>
      <c r="F51" t="s">
        <v>12</v>
      </c>
      <c r="G51">
        <v>1000</v>
      </c>
    </row>
    <row r="52" spans="1:7" x14ac:dyDescent="0.3">
      <c r="A52">
        <v>51</v>
      </c>
      <c r="B52" s="2">
        <v>45013</v>
      </c>
      <c r="C52" t="s">
        <v>9</v>
      </c>
      <c r="D52">
        <v>70</v>
      </c>
      <c r="E52" t="s">
        <v>7</v>
      </c>
      <c r="F52" t="s">
        <v>13</v>
      </c>
      <c r="G52">
        <v>1500</v>
      </c>
    </row>
    <row r="53" spans="1:7" x14ac:dyDescent="0.3">
      <c r="A53">
        <v>52</v>
      </c>
      <c r="B53" s="2">
        <v>45014</v>
      </c>
      <c r="C53" t="s">
        <v>6</v>
      </c>
      <c r="D53">
        <v>30</v>
      </c>
      <c r="E53" t="s">
        <v>10</v>
      </c>
      <c r="F53" t="s">
        <v>19</v>
      </c>
      <c r="G53">
        <v>800</v>
      </c>
    </row>
    <row r="54" spans="1:7" x14ac:dyDescent="0.3">
      <c r="A54">
        <v>53</v>
      </c>
      <c r="B54" s="2">
        <v>45015</v>
      </c>
      <c r="C54" t="s">
        <v>9</v>
      </c>
      <c r="D54">
        <v>45</v>
      </c>
      <c r="E54" t="s">
        <v>16</v>
      </c>
      <c r="F54" t="s">
        <v>17</v>
      </c>
      <c r="G54">
        <v>600</v>
      </c>
    </row>
    <row r="55" spans="1:7" x14ac:dyDescent="0.3">
      <c r="A55">
        <v>54</v>
      </c>
      <c r="B55" s="2">
        <v>45016</v>
      </c>
      <c r="C55" t="s">
        <v>6</v>
      </c>
      <c r="D55">
        <v>55</v>
      </c>
      <c r="E55" t="s">
        <v>7</v>
      </c>
      <c r="F55" t="s">
        <v>14</v>
      </c>
      <c r="G55">
        <v>300</v>
      </c>
    </row>
    <row r="56" spans="1:7" x14ac:dyDescent="0.3">
      <c r="A56">
        <v>55</v>
      </c>
      <c r="B56" s="2">
        <v>45017</v>
      </c>
      <c r="C56" t="s">
        <v>9</v>
      </c>
      <c r="D56">
        <v>60</v>
      </c>
      <c r="E56" t="s">
        <v>10</v>
      </c>
      <c r="F56" t="s">
        <v>15</v>
      </c>
      <c r="G56">
        <v>2000</v>
      </c>
    </row>
    <row r="57" spans="1:7" x14ac:dyDescent="0.3">
      <c r="A57">
        <v>56</v>
      </c>
      <c r="B57" s="2">
        <v>45018</v>
      </c>
      <c r="C57" t="s">
        <v>6</v>
      </c>
      <c r="D57">
        <v>75</v>
      </c>
      <c r="E57" t="s">
        <v>7</v>
      </c>
      <c r="F57" t="s">
        <v>18</v>
      </c>
      <c r="G57">
        <v>2500</v>
      </c>
    </row>
    <row r="58" spans="1:7" x14ac:dyDescent="0.3">
      <c r="A58">
        <v>57</v>
      </c>
      <c r="B58" s="2">
        <v>45019</v>
      </c>
      <c r="C58" t="s">
        <v>9</v>
      </c>
      <c r="D58">
        <v>40</v>
      </c>
      <c r="E58" t="s">
        <v>10</v>
      </c>
      <c r="F58" t="s">
        <v>19</v>
      </c>
      <c r="G58">
        <v>800</v>
      </c>
    </row>
    <row r="59" spans="1:7" x14ac:dyDescent="0.3">
      <c r="A59">
        <v>58</v>
      </c>
      <c r="B59" s="2">
        <v>45020</v>
      </c>
      <c r="C59" t="s">
        <v>6</v>
      </c>
      <c r="D59">
        <v>55</v>
      </c>
      <c r="E59" t="s">
        <v>7</v>
      </c>
      <c r="F59" t="s">
        <v>11</v>
      </c>
      <c r="G59">
        <v>700</v>
      </c>
    </row>
    <row r="60" spans="1:7" x14ac:dyDescent="0.3">
      <c r="A60">
        <v>59</v>
      </c>
      <c r="B60" s="2">
        <v>45021</v>
      </c>
      <c r="C60" t="s">
        <v>9</v>
      </c>
      <c r="D60">
        <v>28</v>
      </c>
      <c r="E60" t="s">
        <v>10</v>
      </c>
      <c r="F60" t="s">
        <v>12</v>
      </c>
      <c r="G60">
        <v>1000</v>
      </c>
    </row>
    <row r="61" spans="1:7" x14ac:dyDescent="0.3">
      <c r="A61">
        <v>60</v>
      </c>
      <c r="B61" s="2">
        <v>45022</v>
      </c>
      <c r="C61" t="s">
        <v>6</v>
      </c>
      <c r="D61">
        <v>62</v>
      </c>
      <c r="E61" t="s">
        <v>7</v>
      </c>
      <c r="F61" t="s">
        <v>13</v>
      </c>
      <c r="G61">
        <v>1500</v>
      </c>
    </row>
    <row r="62" spans="1:7" x14ac:dyDescent="0.3">
      <c r="A62">
        <v>61</v>
      </c>
      <c r="B62" s="2">
        <v>45416</v>
      </c>
      <c r="C62" t="s">
        <v>9</v>
      </c>
      <c r="D62">
        <v>48</v>
      </c>
      <c r="E62" t="s">
        <v>16</v>
      </c>
      <c r="F62" t="s">
        <v>14</v>
      </c>
      <c r="G62">
        <v>300</v>
      </c>
    </row>
    <row r="63" spans="1:7" x14ac:dyDescent="0.3">
      <c r="A63">
        <v>62</v>
      </c>
      <c r="B63" s="2">
        <v>45417</v>
      </c>
      <c r="C63" t="s">
        <v>6</v>
      </c>
      <c r="D63">
        <v>50</v>
      </c>
      <c r="E63" t="s">
        <v>7</v>
      </c>
      <c r="F63" t="s">
        <v>15</v>
      </c>
      <c r="G63">
        <v>2000</v>
      </c>
    </row>
    <row r="64" spans="1:7" x14ac:dyDescent="0.3">
      <c r="A64">
        <v>63</v>
      </c>
      <c r="B64" s="2">
        <v>45418</v>
      </c>
      <c r="C64" t="s">
        <v>9</v>
      </c>
      <c r="D64">
        <v>65</v>
      </c>
      <c r="E64" t="s">
        <v>10</v>
      </c>
      <c r="F64" t="s">
        <v>18</v>
      </c>
      <c r="G64">
        <v>2500</v>
      </c>
    </row>
    <row r="65" spans="1:7" x14ac:dyDescent="0.3">
      <c r="A65">
        <v>64</v>
      </c>
      <c r="B65" s="2">
        <v>45419</v>
      </c>
      <c r="C65" t="s">
        <v>6</v>
      </c>
      <c r="D65">
        <v>42</v>
      </c>
      <c r="E65" t="s">
        <v>7</v>
      </c>
      <c r="F65" t="s">
        <v>8</v>
      </c>
      <c r="G65">
        <v>500</v>
      </c>
    </row>
    <row r="66" spans="1:7" x14ac:dyDescent="0.3">
      <c r="A66">
        <v>65</v>
      </c>
      <c r="B66" s="2">
        <v>45420</v>
      </c>
      <c r="C66" t="s">
        <v>9</v>
      </c>
      <c r="D66">
        <v>70</v>
      </c>
      <c r="E66" t="s">
        <v>10</v>
      </c>
      <c r="F66" t="s">
        <v>11</v>
      </c>
      <c r="G66">
        <v>700</v>
      </c>
    </row>
    <row r="67" spans="1:7" x14ac:dyDescent="0.3">
      <c r="A67">
        <v>66</v>
      </c>
      <c r="B67" s="2">
        <v>45421</v>
      </c>
      <c r="C67" t="s">
        <v>6</v>
      </c>
      <c r="D67">
        <v>30</v>
      </c>
      <c r="E67" t="s">
        <v>10</v>
      </c>
      <c r="F67" t="s">
        <v>12</v>
      </c>
      <c r="G67">
        <v>1000</v>
      </c>
    </row>
    <row r="68" spans="1:7" x14ac:dyDescent="0.3">
      <c r="A68">
        <v>67</v>
      </c>
      <c r="B68" s="2">
        <v>45422</v>
      </c>
      <c r="C68" t="s">
        <v>9</v>
      </c>
      <c r="D68">
        <v>45</v>
      </c>
      <c r="E68" t="s">
        <v>7</v>
      </c>
      <c r="F68" t="s">
        <v>13</v>
      </c>
      <c r="G68">
        <v>1500</v>
      </c>
    </row>
    <row r="69" spans="1:7" x14ac:dyDescent="0.3">
      <c r="A69">
        <v>68</v>
      </c>
      <c r="B69" s="2">
        <v>45423</v>
      </c>
      <c r="C69" t="s">
        <v>6</v>
      </c>
      <c r="D69">
        <v>32</v>
      </c>
      <c r="E69" t="s">
        <v>16</v>
      </c>
      <c r="F69" t="s">
        <v>19</v>
      </c>
      <c r="G69">
        <v>800</v>
      </c>
    </row>
    <row r="70" spans="1:7" x14ac:dyDescent="0.3">
      <c r="A70">
        <v>69</v>
      </c>
      <c r="B70" s="2">
        <v>45424</v>
      </c>
      <c r="C70" t="s">
        <v>9</v>
      </c>
      <c r="D70">
        <v>55</v>
      </c>
      <c r="E70" t="s">
        <v>7</v>
      </c>
      <c r="F70" t="s">
        <v>17</v>
      </c>
      <c r="G70">
        <v>600</v>
      </c>
    </row>
    <row r="71" spans="1:7" x14ac:dyDescent="0.3">
      <c r="A71">
        <v>70</v>
      </c>
      <c r="B71" s="2">
        <v>45425</v>
      </c>
      <c r="C71" t="s">
        <v>6</v>
      </c>
      <c r="D71">
        <v>60</v>
      </c>
      <c r="E71" t="s">
        <v>10</v>
      </c>
      <c r="F71" t="s">
        <v>14</v>
      </c>
      <c r="G71">
        <v>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Sheet1</vt:lpstr>
      <vt:lpstr>Sheet2</vt:lpstr>
      <vt:lpstr>Sheet3</vt:lpstr>
      <vt:lpstr>Sheet4</vt:lpstr>
      <vt:lpstr>Sheet5</vt:lpstr>
      <vt:lpstr>Sheet6</vt:lpstr>
      <vt:lpstr>Sheet7</vt:lpstr>
      <vt:lpstr>Sheet8</vt:lpstr>
      <vt:lpstr>Sheet9</vt:lpstr>
      <vt:lpstr>Sheet10</vt:lpstr>
      <vt:lpstr>Sheet11</vt:lpstr>
      <vt:lpstr>Sheet12</vt:lpstr>
      <vt:lpstr>DashBoard</vt:lpstr>
      <vt:lpstr>DataSet</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B P Sharma</dc:creator>
  <cp:lastModifiedBy>vineet kumar</cp:lastModifiedBy>
  <dcterms:created xsi:type="dcterms:W3CDTF">2024-04-13T11:04:28Z</dcterms:created>
  <dcterms:modified xsi:type="dcterms:W3CDTF">2024-04-18T11:43:12Z</dcterms:modified>
</cp:coreProperties>
</file>